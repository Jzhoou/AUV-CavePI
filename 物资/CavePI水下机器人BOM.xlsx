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89ae5bd3c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主表" sheetId="1" r:id="R9df5fd07afbb4cd4"/>
    <x:sheet xmlns:r="http://schemas.openxmlformats.org/officeDocument/2006/relationships" name="阶段采购汇总" sheetId="2" r:id="R4fc852c88f724d06"/>
    <x:sheet xmlns:r="http://schemas.openxmlformats.org/officeDocument/2006/relationships" name="现有资产匹配" sheetId="3" r:id="Rbe1f30a8e5bf4f54"/>
    <x:sheet xmlns:r="http://schemas.openxmlformats.org/officeDocument/2006/relationships" name="待确认项" sheetId="4" r:id="Ra52fe2f2717a40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"/>
    <x:numFmt numFmtId="201" formatCode="#,##0.00"/>
    <x:numFmt numFmtId="202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54B73"/>
      <x:name val="Carlito"/>
    </x:font>
    <x:font>
      <x:b/>
      <x:sz val="11"/>
      <x:color rgb="FF254B73"/>
      <x:name val="Carlito"/>
    </x:font>
    <x:font>
      <x:b/>
      <x:sz val="14"/>
      <x:color rgb="FF254B73"/>
      <x:name val="Carlito"/>
    </x:font>
    <x:font>
      <x:sz val="9"/>
      <x:color rgb="FF5B6573"/>
      <x:name val="Carlito"/>
    </x:font>
    <x:font>
      <x:b/>
      <x:sz val="10"/>
      <x:color rgb="FFFFFFFF"/>
      <x:name val="Carlito"/>
    </x:font>
    <x:font>
      <x:sz val="9"/>
      <x:color rgb="FF203040"/>
      <x:name val="Carlito"/>
    </x:font>
    <x:font>
      <x:sz val="10"/>
      <x:color rgb="FF20304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54B73"/>
      </x:patternFill>
    </x:fill>
    <x:fill>
      <x:patternFill patternType="solid">
        <x:fgColor rgb="FFEAF2F8"/>
      </x:patternFill>
    </x:fill>
    <x:fill>
      <x:patternFill patternType="solid">
        <x:fgColor rgb="FFD9E7F5"/>
      </x:patternFill>
    </x:fill>
    <x:fill>
      <x:patternFill patternType="solid">
        <x:fgColor rgb="FFE2F0D9"/>
      </x:patternFill>
    </x:fill>
    <x:fill>
      <x:patternFill patternType="solid">
        <x:fgColor rgb="FFF7F9FB"/>
      </x:patternFill>
    </x:fill>
    <x:fill>
      <x:patternFill patternType="solid">
        <x:fgColor rgb="FF4472C4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</x:fills>
  <x:borders count="8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top style="thin">
        <x:color rgb="FFB4C6E7"/>
      </x:top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2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/>
    </x:xf>
    <x:xf numFmtId="0" fontId="7" fillId="8" borderId="2" xfId="0" applyNumberFormat="1" applyFont="1" applyFill="1" applyBorder="1" applyAlignment="1">
      <x:alignment vertical="center"/>
    </x:xf>
    <x:xf numFmtId="0" fontId="7" fillId="8" borderId="3" xfId="0" applyNumberFormat="1" applyFont="1" applyFill="1" applyBorder="1" applyAlignment="1">
      <x:alignment vertical="center"/>
    </x:xf>
    <x:xf numFmtId="0" fontId="7" fillId="9" borderId="2" xfId="0" applyNumberFormat="1" applyFont="1" applyFill="1" applyBorder="1" applyAlignment="1">
      <x:alignment vertical="center"/>
    </x:xf>
    <x:xf numFmtId="0" fontId="7" fillId="9" borderId="3" xfId="0" applyNumberFormat="1" applyFont="1" applyFill="1" applyBorder="1" applyAlignment="1">
      <x:alignment vertical="center"/>
    </x:xf>
    <x:xf numFmtId="0" fontId="7" fillId="9" borderId="4" xfId="0" applyNumberFormat="1" applyFont="1" applyFill="1" applyBorder="1" applyAlignment="1">
      <x:alignment vertical="center"/>
    </x:xf>
    <x:xf numFmtId="0" fontId="7" fillId="8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8" borderId="3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7" fillId="8" borderId="2" xfId="0" applyNumberFormat="1" applyFont="1" applyFill="1" applyBorder="1" applyAlignment="1">
      <x:alignment horizontal="right" vertical="center"/>
    </x:xf>
    <x:xf numFmtId="0" fontId="7" fillId="9" borderId="2" xfId="0" applyNumberFormat="1" applyFont="1" applyFill="1" applyBorder="1" applyAlignment="1">
      <x:alignment horizontal="right" vertical="center"/>
    </x:xf>
    <x:xf numFmtId="0" fontId="7" fillId="0" borderId="3" xfId="0" applyNumberFormat="1" applyFont="1" applyFill="1" applyBorder="1" applyAlignment="1">
      <x:alignment horizontal="right" vertical="center"/>
    </x:xf>
    <x:xf numFmtId="0" fontId="7" fillId="9" borderId="3" xfId="0" applyNumberFormat="1" applyFont="1" applyFill="1" applyBorder="1" applyAlignment="1">
      <x:alignment horizontal="right" vertical="center"/>
    </x:xf>
    <x:xf numFmtId="0" fontId="7" fillId="8" borderId="3" xfId="0" applyNumberFormat="1" applyFont="1" applyFill="1" applyBorder="1" applyAlignment="1">
      <x:alignment horizontal="right" vertical="center"/>
    </x:xf>
    <x:xf numFmtId="0" fontId="7" fillId="0" borderId="4" xfId="0" applyNumberFormat="1" applyFont="1" applyFill="1" applyBorder="1" applyAlignment="1">
      <x:alignment horizontal="right" vertical="center"/>
    </x:xf>
    <x:xf numFmtId="0" fontId="7" fillId="9" borderId="4" xfId="0" applyNumberFormat="1" applyFont="1" applyFill="1" applyBorder="1" applyAlignment="1">
      <x:alignment horizontal="right" vertical="center"/>
    </x:xf>
    <x:xf numFmtId="200" fontId="7" fillId="8" borderId="2" xfId="0" applyNumberFormat="1" applyFont="1" applyFill="1" applyBorder="1" applyAlignment="1">
      <x:alignment horizontal="right" vertical="center"/>
    </x:xf>
    <x:xf numFmtId="200" fontId="7" fillId="9" borderId="2" xfId="0" applyNumberFormat="1" applyFont="1" applyFill="1" applyBorder="1" applyAlignment="1">
      <x:alignment horizontal="right" vertical="center"/>
    </x:xf>
    <x:xf numFmtId="200" fontId="7" fillId="0" borderId="3" xfId="0" applyNumberFormat="1" applyFont="1" applyFill="1" applyBorder="1" applyAlignment="1">
      <x:alignment horizontal="right" vertical="center"/>
    </x:xf>
    <x:xf numFmtId="200" fontId="7" fillId="9" borderId="3" xfId="0" applyNumberFormat="1" applyFont="1" applyFill="1" applyBorder="1" applyAlignment="1">
      <x:alignment horizontal="right" vertical="center"/>
    </x:xf>
    <x:xf numFmtId="200" fontId="7" fillId="8" borderId="3" xfId="0" applyNumberFormat="1" applyFont="1" applyFill="1" applyBorder="1" applyAlignment="1">
      <x:alignment horizontal="right" vertical="center"/>
    </x:xf>
    <x:xf numFmtId="200" fontId="7" fillId="0" borderId="4" xfId="0" applyNumberFormat="1" applyFont="1" applyFill="1" applyBorder="1" applyAlignment="1">
      <x:alignment horizontal="right" vertical="center"/>
    </x:xf>
    <x:xf numFmtId="200" fontId="7" fillId="9" borderId="4" xfId="0" applyNumberFormat="1" applyFont="1" applyFill="1" applyBorder="1" applyAlignment="1">
      <x:alignment horizontal="right" vertical="center"/>
    </x:xf>
    <x:xf numFmtId="201" fontId="7" fillId="8" borderId="2" xfId="0" applyNumberFormat="1" applyFont="1" applyFill="1" applyBorder="1" applyAlignment="1">
      <x:alignment horizontal="right" vertical="center"/>
    </x:xf>
    <x:xf numFmtId="201" fontId="7" fillId="9" borderId="2" xfId="0" applyNumberFormat="1" applyFont="1" applyFill="1" applyBorder="1" applyAlignment="1">
      <x:alignment horizontal="right" vertical="center"/>
    </x:xf>
    <x:xf numFmtId="201" fontId="7" fillId="0" borderId="3" xfId="0" applyNumberFormat="1" applyFont="1" applyFill="1" applyBorder="1" applyAlignment="1">
      <x:alignment horizontal="right" vertical="center"/>
    </x:xf>
    <x:xf numFmtId="201" fontId="7" fillId="9" borderId="3" xfId="0" applyNumberFormat="1" applyFont="1" applyFill="1" applyBorder="1" applyAlignment="1">
      <x:alignment horizontal="right" vertical="center"/>
    </x:xf>
    <x:xf numFmtId="201" fontId="7" fillId="8" borderId="3" xfId="0" applyNumberFormat="1" applyFont="1" applyFill="1" applyBorder="1" applyAlignment="1">
      <x:alignment horizontal="right" vertical="center"/>
    </x:xf>
    <x:xf numFmtId="201" fontId="7" fillId="0" borderId="4" xfId="0" applyNumberFormat="1" applyFont="1" applyFill="1" applyBorder="1" applyAlignment="1">
      <x:alignment horizontal="right" vertical="center"/>
    </x:xf>
    <x:xf numFmtId="201" fontId="7" fillId="9" borderId="4" xfId="0" applyNumberFormat="1" applyFont="1" applyFill="1" applyBorder="1" applyAlignment="1">
      <x:alignment horizontal="right" vertical="center"/>
    </x:xf>
    <x:xf numFmtId="202" fontId="7" fillId="8" borderId="2" xfId="0" applyNumberFormat="1" applyFont="1" applyFill="1" applyBorder="1" applyAlignment="1">
      <x:alignment vertical="center" wrapText="1"/>
    </x:xf>
    <x:xf numFmtId="202" fontId="7" fillId="0" borderId="3" xfId="0" applyNumberFormat="1" applyFont="1" applyFill="1" applyBorder="1" applyAlignment="1">
      <x:alignment vertical="center" wrapText="1"/>
    </x:xf>
    <x:xf numFmtId="202" fontId="7" fillId="8" borderId="3" xfId="0" applyNumberFormat="1" applyFont="1" applyFill="1" applyBorder="1" applyAlignment="1">
      <x:alignment vertical="center" wrapText="1"/>
    </x:xf>
    <x:xf numFmtId="202" fontId="7" fillId="0" borderId="4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5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vertical="center"/>
    </x:xf>
    <x:xf numFmtId="0" fontId="8" fillId="0" borderId="7" xfId="0" applyNumberFormat="1" applyFont="1" applyFill="1" applyBorder="1" applyAlignment="1">
      <x:alignment vertical="center"/>
    </x:xf>
    <x:xf numFmtId="0" fontId="8" fillId="8" borderId="5" xfId="0" applyNumberFormat="1" applyFont="1" applyFill="1" applyBorder="1" applyAlignment="1">
      <x:alignment vertical="center"/>
    </x:xf>
    <x:xf numFmtId="0" fontId="8" fillId="8" borderId="7" xfId="0" applyNumberFormat="1" applyFont="1" applyFill="1" applyBorder="1" applyAlignment="1">
      <x:alignment vertical="center"/>
    </x:xf>
    <x:xf numFmtId="200" fontId="8" fillId="8" borderId="5" xfId="0" applyNumberFormat="1" applyFont="1" applyFill="1" applyBorder="1" applyAlignment="1">
      <x:alignment vertical="center"/>
    </x:xf>
    <x:xf numFmtId="200" fontId="8" fillId="0" borderId="6" xfId="0" applyNumberFormat="1" applyFont="1" applyFill="1" applyBorder="1" applyAlignment="1">
      <x:alignment vertical="center"/>
    </x:xf>
    <x:xf numFmtId="200" fontId="8" fillId="8" borderId="7" xfId="0" applyNumberFormat="1" applyFont="1" applyFill="1" applyBorder="1" applyAlignment="1">
      <x:alignment vertical="center"/>
    </x:xf>
    <x:xf numFmtId="201" fontId="8" fillId="8" borderId="5" xfId="0" applyNumberFormat="1" applyFont="1" applyFill="1" applyBorder="1" applyAlignment="1">
      <x:alignment vertical="center"/>
    </x:xf>
    <x:xf numFmtId="201" fontId="8" fillId="0" borderId="6" xfId="0" applyNumberFormat="1" applyFont="1" applyFill="1" applyBorder="1" applyAlignment="1">
      <x:alignment vertical="center"/>
    </x:xf>
    <x:xf numFmtId="201" fontId="8" fillId="8" borderId="7" xfId="0" applyNumberFormat="1" applyFont="1" applyFill="1" applyBorder="1" applyAlignment="1">
      <x:alignment vertical="center"/>
    </x:xf>
    <x:xf numFmtId="0" fontId="7" fillId="8" borderId="4" xfId="0" applyNumberFormat="1" applyFont="1" applyFill="1" applyBorder="1" applyAlignment="1">
      <x:alignment vertical="center"/>
    </x:xf>
    <x:xf numFmtId="0" fontId="7" fillId="8" borderId="4" xfId="0" applyNumberFormat="1" applyFont="1" applyFill="1" applyBorder="1" applyAlignment="1">
      <x:alignment vertical="center" wrapText="1"/>
    </x:xf>
    <x:xf numFmtId="200" fontId="7" fillId="8" borderId="2" xfId="0" applyNumberFormat="1" applyFont="1" applyFill="1" applyBorder="1" applyAlignment="1">
      <x:alignment vertical="center"/>
    </x:xf>
    <x:xf numFmtId="200" fontId="7" fillId="0" borderId="3" xfId="0" applyNumberFormat="1" applyFont="1" applyFill="1" applyBorder="1" applyAlignment="1">
      <x:alignment vertical="center"/>
    </x:xf>
    <x:xf numFmtId="200" fontId="7" fillId="8" borderId="3" xfId="0" applyNumberFormat="1" applyFont="1" applyFill="1" applyBorder="1" applyAlignment="1">
      <x:alignment vertical="center"/>
    </x:xf>
    <x:xf numFmtId="200" fontId="7" fillId="8" borderId="4" xfId="0" applyNumberFormat="1" applyFont="1" applyFill="1" applyBorder="1" applyAlignment="1">
      <x:alignment vertical="center"/>
    </x:xf>
    <x:xf numFmtId="201" fontId="7" fillId="8" borderId="2" xfId="0" applyNumberFormat="1" applyFont="1" applyFill="1" applyBorder="1" applyAlignment="1">
      <x:alignment vertical="center"/>
    </x:xf>
    <x:xf numFmtId="201" fontId="7" fillId="0" borderId="3" xfId="0" applyNumberFormat="1" applyFont="1" applyFill="1" applyBorder="1" applyAlignment="1">
      <x:alignment vertical="center"/>
    </x:xf>
    <x:xf numFmtId="201" fontId="7" fillId="8" borderId="3" xfId="0" applyNumberFormat="1" applyFont="1" applyFill="1" applyBorder="1" applyAlignment="1">
      <x:alignment vertical="center"/>
    </x:xf>
    <x:xf numFmtId="201" fontId="7" fillId="8" borderId="4" xfId="0" applyNumberFormat="1" applyFont="1" applyFill="1" applyBorder="1" applyAlignment="1">
      <x:alignment vertical="center"/>
    </x:xf>
    <x:xf numFmtId="202" fontId="7" fillId="8" borderId="2" xfId="0" applyNumberFormat="1" applyFont="1" applyFill="1" applyBorder="1" applyAlignment="1">
      <x:alignment vertical="center"/>
    </x:xf>
    <x:xf numFmtId="202" fontId="7" fillId="0" borderId="3" xfId="0" applyNumberFormat="1" applyFont="1" applyFill="1" applyBorder="1" applyAlignment="1">
      <x:alignment vertical="center"/>
    </x:xf>
    <x:xf numFmtId="202" fontId="7" fillId="8" borderId="3" xfId="0" applyNumberFormat="1" applyFont="1" applyFill="1" applyBorder="1" applyAlignment="1">
      <x:alignment vertical="center"/>
    </x:xf>
    <x:xf numFmtId="202" fontId="7" fillId="8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8" borderId="5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00be71d012414c" /><Relationship Type="http://schemas.openxmlformats.org/officeDocument/2006/relationships/theme" Target="/xl/theme/theme1.xml" Id="Rfa379576c6b4495c" /><Relationship Type="http://schemas.openxmlformats.org/officeDocument/2006/relationships/sharedStrings" Target="/xl/sharedStrings.xml" Id="Rd201d08f613d4443" /><Relationship Type="http://schemas.openxmlformats.org/officeDocument/2006/relationships/worksheet" Target="/xl/worksheets/sheet1.xml" Id="R9df5fd07afbb4cd4" /><Relationship Type="http://schemas.openxmlformats.org/officeDocument/2006/relationships/worksheet" Target="/xl/worksheets/sheet2.xml" Id="R4fc852c88f724d06" /><Relationship Type="http://schemas.openxmlformats.org/officeDocument/2006/relationships/worksheet" Target="/xl/worksheets/sheet3.xml" Id="Rbe1f30a8e5bf4f54" /><Relationship Type="http://schemas.openxmlformats.org/officeDocument/2006/relationships/worksheet" Target="/xl/worksheets/sheet4.xml" Id="Ra52fe2f2717a40b1" /></Relationships>
</file>

<file path=xl/tables/table1.xml><?xml version="1.0" encoding="utf-8"?>
<x:table xmlns:x="http://schemas.openxmlformats.org/spreadsheetml/2006/main" id="1" name="CavePiBomTable" displayName="CavePiBomTable" ref="A6:U74" headerRowCount="1" totalsRowCount="0" totalsRowShown="0">
  <x:tableColumns count="21">
    <x:tableColumn id="1" name="物料编码"/>
    <x:tableColumn id="2" name="系统分类"/>
    <x:tableColumn id="3" name="装配层级"/>
    <x:tableColumn id="4" name="物料名称"/>
    <x:tableColumn id="5" name="规格/型号"/>
    <x:tableColumn id="6" name="单位"/>
    <x:tableColumn id="7" name="调试版需求量"/>
    <x:tableColumn id="8" name="第一版需求量"/>
    <x:tableColumn id="9" name="后续升级增量"/>
    <x:tableColumn id="10" name="现有可用数量"/>
    <x:tableColumn id="11" name="调试版待购量"/>
    <x:tableColumn id="12" name="第一版待购量"/>
    <x:tableColumn id="13" name="升级待购量"/>
    <x:tableColumn id="14" name="参考单价（元）"/>
    <x:tableColumn id="15" name="调试版待购金额"/>
    <x:tableColumn id="16" name="第一版待购金额"/>
    <x:tableColumn id="17" name="升级待购金额"/>
    <x:tableColumn id="18" name="采购状态"/>
    <x:tableColumn id="19" name="来源资产编号"/>
    <x:tableColumn id="20" name="来源采购日期"/>
    <x:tableColumn id="21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tMatchTable" displayName="AssetMatchTable" ref="A5:M62" headerRowCount="1" totalsRowCount="0" totalsRowShown="0">
  <x:tableColumns count="13">
    <x:tableColumn id="1" name="资产编号"/>
    <x:tableColumn id="2" name="管理类别"/>
    <x:tableColumn id="3" name="资产属性"/>
    <x:tableColumn id="4" name="资产名称"/>
    <x:tableColumn id="5" name="规格/型号"/>
    <x:tableColumn id="6" name="采购数量"/>
    <x:tableColumn id="7" name="单价（元）"/>
    <x:tableColumn id="8" name="资产原值（元）"/>
    <x:tableColumn id="9" name="购置日期"/>
    <x:tableColumn id="10" name="供应商/店铺"/>
    <x:tableColumn id="11" name="匹配BOM编码"/>
    <x:tableColumn id="12" name="匹配结论"/>
    <x:tableColumn id="1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82955fe5a64a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7c5ffde3e348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10.630000114440918" hidden="0" customWidth="1"/>
    <x:col min="3" max="3" width="10.25" hidden="0" customWidth="1"/>
    <x:col min="4" max="4" width="20.6299991607666" hidden="0" customWidth="1"/>
    <x:col min="5" max="5" width="30" hidden="0" customWidth="1"/>
    <x:col min="6" max="6" width="6.880000114440918" hidden="0" customWidth="1"/>
    <x:col min="7" max="7" width="9.5" hidden="0" customWidth="1"/>
    <x:col min="8" max="8" width="9.5" hidden="0" customWidth="1"/>
    <x:col min="9" max="9" width="9.5" hidden="0" customWidth="1"/>
    <x:col min="10" max="10" width="9.5" hidden="0" customWidth="1"/>
    <x:col min="11" max="11" width="9.5" hidden="0" customWidth="1"/>
    <x:col min="12" max="12" width="9.5" hidden="0" customWidth="1"/>
    <x:col min="13" max="13" width="9.5" hidden="0" customWidth="1"/>
    <x:col min="14" max="14" width="10.630000114440918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0.630000114440918" hidden="0" customWidth="1"/>
    <x:col min="19" max="19" width="16.8799991607666" hidden="0" customWidth="1"/>
    <x:col min="20" max="20" width="11.880000114440918" hidden="0" customWidth="1"/>
    <x:col min="21" max="21" width="37.5" hidden="0" customWidth="1"/>
  </x:cols>
  <x:sheetData>
    <x:row r="1" ht="31.5" customHeight="1">
      <x:c r="A1" s="4" t="str">
        <x:v>CavePI 水下机器人 BOM 主表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5.5" customHeight="1">
      <x:c r="A2" s="9" t="str">
        <x:v>口径：单台机器人；包含本体与装配耗材，不含通用工具。第一版按30 m设计深度、1-2 h续航目标管理，未完成工程验证的规格明确标记为待选型。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</x:row>
    <x:row r="3">
      <x:c r="A3" s="13" t="str">
        <x:v>BOM物料数</x:v>
      </x:c>
      <x:c r="B3" s="13"/>
      <x:c r="C3" s="13"/>
      <x:c r="D3" s="13" t="str">
        <x:v>第一版待购物料</x:v>
      </x:c>
      <x:c r="E3" s="13"/>
      <x:c r="F3" s="13"/>
      <x:c r="G3" s="13" t="str">
        <x:v>第一版已知待购金额（元）</x:v>
      </x:c>
      <x:c r="H3" s="13"/>
      <x:c r="I3" s="13"/>
      <x:c r="J3" s="13" t="str">
        <x:v>待选型条目</x:v>
      </x:c>
      <x:c r="K3" s="13"/>
      <x:c r="L3" s="13"/>
      <x:c r="M3" s="21" t="str">
        <x:v>说明：黄色表示存在采购缺口；浅红表示参数或型号尚未确认；灰色列为公式计算列。数量跨单位汇总仅供阶段规模参考。</x:v>
      </x:c>
      <x:c r="N3" s="21"/>
      <x:c r="O3" s="21"/>
      <x:c r="P3" s="21"/>
      <x:c r="Q3" s="21"/>
      <x:c r="R3" s="21"/>
      <x:c r="S3" s="21"/>
      <x:c r="T3" s="21"/>
      <x:c r="U3" s="21"/>
    </x:row>
    <x:row r="4">
      <x:c r="A4" s="17" t="n">
        <x:f>COUNTA(A7:A74)</x:f>
        <x:v>68</x:v>
      </x:c>
      <x:c r="B4" s="17"/>
      <x:c r="C4" s="17"/>
      <x:c r="D4" s="17" t="n">
        <x:f>COUNTIF(L7:L74,"&gt;0")</x:f>
        <x:v>29</x:v>
      </x:c>
      <x:c r="E4" s="17"/>
      <x:c r="F4" s="17"/>
      <x:c r="G4" s="17" t="n">
        <x:f>SUM(P7:P74)</x:f>
        <x:v>1158</x:v>
      </x:c>
      <x:c r="H4" s="17"/>
      <x:c r="I4" s="17"/>
      <x:c r="J4" s="17" t="n">
        <x:f>COUNTIF(R7:R74,"待选型")</x:f>
        <x:v>29</x:v>
      </x:c>
      <x:c r="K4" s="17"/>
      <x:c r="L4" s="17"/>
      <x:c r="M4" s="21"/>
      <x:c r="N4" s="21"/>
      <x:c r="O4" s="21"/>
      <x:c r="P4" s="21"/>
      <x:c r="Q4" s="21"/>
      <x:c r="R4" s="21"/>
      <x:c r="S4" s="21"/>
      <x:c r="T4" s="21"/>
      <x:c r="U4" s="21"/>
    </x:row>
    <x:row r="6" ht="30" customHeight="1">
      <x:c r="A6" s="27" t="str">
        <x:v>物料编码</x:v>
      </x:c>
      <x:c r="B6" s="27" t="str">
        <x:v>系统分类</x:v>
      </x:c>
      <x:c r="C6" s="27" t="str">
        <x:v>装配层级</x:v>
      </x:c>
      <x:c r="D6" s="27" t="str">
        <x:v>物料名称</x:v>
      </x:c>
      <x:c r="E6" s="27" t="str">
        <x:v>规格/型号</x:v>
      </x:c>
      <x:c r="F6" s="27" t="str">
        <x:v>单位</x:v>
      </x:c>
      <x:c r="G6" s="27" t="str">
        <x:v>调试版需求量</x:v>
      </x:c>
      <x:c r="H6" s="27" t="str">
        <x:v>第一版需求量</x:v>
      </x:c>
      <x:c r="I6" s="27" t="str">
        <x:v>后续升级增量</x:v>
      </x:c>
      <x:c r="J6" s="27" t="str">
        <x:v>现有可用数量</x:v>
      </x:c>
      <x:c r="K6" s="27" t="str">
        <x:v>调试版待购量</x:v>
      </x:c>
      <x:c r="L6" s="27" t="str">
        <x:v>第一版待购量</x:v>
      </x:c>
      <x:c r="M6" s="27" t="str">
        <x:v>升级待购量</x:v>
      </x:c>
      <x:c r="N6" s="27" t="str">
        <x:v>参考单价（元）</x:v>
      </x:c>
      <x:c r="O6" s="27" t="str">
        <x:v>调试版待购金额</x:v>
      </x:c>
      <x:c r="P6" s="27" t="str">
        <x:v>第一版待购金额</x:v>
      </x:c>
      <x:c r="Q6" s="27" t="str">
        <x:v>升级待购金额</x:v>
      </x:c>
      <x:c r="R6" s="27" t="str">
        <x:v>采购状态</x:v>
      </x:c>
      <x:c r="S6" s="27" t="str">
        <x:v>来源资产编号</x:v>
      </x:c>
      <x:c r="T6" s="27" t="str">
        <x:v>来源采购日期</x:v>
      </x:c>
      <x:c r="U6" s="27" t="str">
        <x:v>备注</x:v>
      </x:c>
    </x:row>
    <x:row r="7">
      <x:c r="A7" s="40" t="str">
        <x:v>CPI-MECH-001</x:v>
      </x:c>
      <x:c r="B7" s="40" t="str">
        <x:v>机械结构</x:v>
      </x:c>
      <x:c r="C7" s="40" t="str">
        <x:v>一级部件</x:v>
      </x:c>
      <x:c r="D7" s="40" t="str">
        <x:v>亚克力耐压舱筒体</x:v>
      </x:c>
      <x:c r="E7" s="40" t="str">
        <x:v>外径160×有效筒长300 mm / 壁厚5 mm</x:v>
      </x:c>
      <x:c r="F7" s="40" t="str">
        <x:v>件</x:v>
      </x:c>
      <x:c r="G7" s="51" t="n">
        <x:v>1</x:v>
      </x:c>
      <x:c r="H7" s="51" t="n">
        <x:v>1</x:v>
      </x:c>
      <x:c r="I7" s="51" t="n">
        <x:v>0</x:v>
      </x:c>
      <x:c r="J7" s="51" t="n">
        <x:v>0</x:v>
      </x:c>
      <x:c r="K7" s="52" t="n">
        <x:f>MAX(0,G7-J7)</x:f>
        <x:v>1</x:v>
      </x:c>
      <x:c r="L7" s="52" t="n">
        <x:f>MAX(0,H7-J7)</x:f>
        <x:v>1</x:v>
      </x:c>
      <x:c r="M7" s="52" t="n">
        <x:f>MAX(0,I7-MAX(0,J7-H7))</x:f>
        <x:v>0</x:v>
      </x:c>
      <x:c r="N7" s="58"/>
      <x:c r="O7" s="59" t="str">
        <x:f>IF(N7="","",K7*N7)</x:f>
      </x:c>
      <x:c r="P7" s="59" t="str">
        <x:f>IF(N7="","",L7*N7)</x:f>
      </x:c>
      <x:c r="Q7" s="59" t="str">
        <x:f>IF(N7="","",M7*N7)</x:f>
      </x:c>
      <x:c r="R7" s="40" t="str">
        <x:v>待选型</x:v>
      </x:c>
      <x:c r="S7" s="40"/>
      <x:c r="T7" s="65"/>
      <x:c r="U7" s="40" t="str">
        <x:v>规格已确认；30 m耐压能力仍需结构校核和水压试验</x:v>
      </x:c>
    </x:row>
    <x:row r="8">
      <x:c r="A8" s="41" t="str">
        <x:v>CPI-MECH-002</x:v>
      </x:c>
      <x:c r="B8" s="41" t="str">
        <x:v>机械结构</x:v>
      </x:c>
      <x:c r="C8" s="41" t="str">
        <x:v>一级部件</x:v>
      </x:c>
      <x:c r="D8" s="41" t="str">
        <x:v>耐压舱端盖</x:v>
      </x:c>
      <x:c r="E8" s="41" t="str">
        <x:v>适配外径160 mm筒体 / 端盖结构与材料待确认</x:v>
      </x:c>
      <x:c r="F8" s="41" t="str">
        <x:v>件</x:v>
      </x:c>
      <x:c r="G8" s="53" t="n">
        <x:v>2</x:v>
      </x:c>
      <x:c r="H8" s="53" t="n">
        <x:v>2</x:v>
      </x:c>
      <x:c r="I8" s="53" t="n">
        <x:v>0</x:v>
      </x:c>
      <x:c r="J8" s="53" t="n">
        <x:v>0</x:v>
      </x:c>
      <x:c r="K8" s="54" t="n">
        <x:f>MAX(0,G8-J8)</x:f>
        <x:v>2</x:v>
      </x:c>
      <x:c r="L8" s="54" t="n">
        <x:f>MAX(0,H8-J8)</x:f>
        <x:v>2</x:v>
      </x:c>
      <x:c r="M8" s="54" t="n">
        <x:f>MAX(0,I8-MAX(0,J8-H8))</x:f>
        <x:v>0</x:v>
      </x:c>
      <x:c r="N8" s="60"/>
      <x:c r="O8" s="61" t="str">
        <x:f>IF(N8="","",K8*N8)</x:f>
      </x:c>
      <x:c r="P8" s="61" t="str">
        <x:f>IF(N8="","",L8*N8)</x:f>
      </x:c>
      <x:c r="Q8" s="61" t="str">
        <x:f>IF(N8="","",M8*N8)</x:f>
      </x:c>
      <x:c r="R8" s="41" t="str">
        <x:v>待选型</x:v>
      </x:c>
      <x:c r="S8" s="41"/>
      <x:c r="T8" s="66"/>
      <x:c r="U8" s="41" t="str">
        <x:v>需完成端盖厚度、材料和连接方式校核</x:v>
      </x:c>
    </x:row>
    <x:row r="9">
      <x:c r="A9" s="42" t="str">
        <x:v>CPI-MECH-003</x:v>
      </x:c>
      <x:c r="B9" s="42" t="str">
        <x:v>机械结构</x:v>
      </x:c>
      <x:c r="C9" s="42" t="str">
        <x:v>二级部件</x:v>
      </x:c>
      <x:c r="D9" s="42" t="str">
        <x:v>端盖压环/锁紧组件</x:v>
      </x:c>
      <x:c r="E9" s="42" t="str">
        <x:v>与160 mm筒体及端盖匹配</x:v>
      </x:c>
      <x:c r="F9" s="42" t="str">
        <x:v>套</x:v>
      </x:c>
      <x:c r="G9" s="55" t="n">
        <x:v>2</x:v>
      </x:c>
      <x:c r="H9" s="55" t="n">
        <x:v>2</x:v>
      </x:c>
      <x:c r="I9" s="55" t="n">
        <x:v>0</x:v>
      </x:c>
      <x:c r="J9" s="55" t="n">
        <x:v>0</x:v>
      </x:c>
      <x:c r="K9" s="54" t="n">
        <x:f>MAX(0,G9-J9)</x:f>
        <x:v>2</x:v>
      </x:c>
      <x:c r="L9" s="54" t="n">
        <x:f>MAX(0,H9-J9)</x:f>
        <x:v>2</x:v>
      </x:c>
      <x:c r="M9" s="54" t="n">
        <x:f>MAX(0,I9-MAX(0,J9-H9))</x:f>
        <x:v>0</x:v>
      </x:c>
      <x:c r="N9" s="62"/>
      <x:c r="O9" s="61" t="str">
        <x:f>IF(N9="","",K9*N9)</x:f>
      </x:c>
      <x:c r="P9" s="61" t="str">
        <x:f>IF(N9="","",L9*N9)</x:f>
      </x:c>
      <x:c r="Q9" s="61" t="str">
        <x:f>IF(N9="","",M9*N9)</x:f>
      </x:c>
      <x:c r="R9" s="42" t="str">
        <x:v>待选型</x:v>
      </x:c>
      <x:c r="S9" s="42"/>
      <x:c r="T9" s="67"/>
      <x:c r="U9" s="42" t="str">
        <x:v>按端盖设计确定</x:v>
      </x:c>
    </x:row>
    <x:row r="10">
      <x:c r="A10" s="41" t="str">
        <x:v>CPI-SEAL-001</x:v>
      </x:c>
      <x:c r="B10" s="41" t="str">
        <x:v>水密与线缆</x:v>
      </x:c>
      <x:c r="C10" s="41" t="str">
        <x:v>二级部件</x:v>
      </x:c>
      <x:c r="D10" s="41" t="str">
        <x:v>端盖O形密封圈</x:v>
      </x:c>
      <x:c r="E10" s="41" t="str">
        <x:v>与端盖密封槽匹配 / 装机2件+备件2件</x:v>
      </x:c>
      <x:c r="F10" s="41" t="str">
        <x:v>个</x:v>
      </x:c>
      <x:c r="G10" s="53" t="n">
        <x:v>4</x:v>
      </x:c>
      <x:c r="H10" s="53" t="n">
        <x:v>4</x:v>
      </x:c>
      <x:c r="I10" s="53" t="n">
        <x:v>0</x:v>
      </x:c>
      <x:c r="J10" s="53" t="n">
        <x:v>0</x:v>
      </x:c>
      <x:c r="K10" s="54" t="n">
        <x:f>MAX(0,G10-J10)</x:f>
        <x:v>4</x:v>
      </x:c>
      <x:c r="L10" s="54" t="n">
        <x:f>MAX(0,H10-J10)</x:f>
        <x:v>4</x:v>
      </x:c>
      <x:c r="M10" s="54" t="n">
        <x:f>MAX(0,I10-MAX(0,J10-H10))</x:f>
        <x:v>0</x:v>
      </x:c>
      <x:c r="N10" s="60"/>
      <x:c r="O10" s="61" t="str">
        <x:f>IF(N10="","",K10*N10)</x:f>
      </x:c>
      <x:c r="P10" s="61" t="str">
        <x:f>IF(N10="","",L10*N10)</x:f>
      </x:c>
      <x:c r="Q10" s="61" t="str">
        <x:f>IF(N10="","",M10*N10)</x:f>
      </x:c>
      <x:c r="R10" s="41" t="str">
        <x:v>待选型</x:v>
      </x:c>
      <x:c r="S10" s="41"/>
      <x:c r="T10" s="66"/>
      <x:c r="U10" s="41" t="str">
        <x:v>密封圈截面、材料和压缩率需按端盖槽确认</x:v>
      </x:c>
    </x:row>
    <x:row r="11">
      <x:c r="A11" s="42" t="str">
        <x:v>CPI-MECH-004</x:v>
      </x:c>
      <x:c r="B11" s="42" t="str">
        <x:v>机械结构</x:v>
      </x:c>
      <x:c r="C11" s="42" t="str">
        <x:v>一级部件</x:v>
      </x:c>
      <x:c r="D11" s="42" t="str">
        <x:v>外部框架</x:v>
      </x:c>
      <x:c r="E11" s="42" t="str">
        <x:v>耐腐蚀轻量框架 / 尺寸与材料待结构设计确认</x:v>
      </x:c>
      <x:c r="F11" s="42" t="str">
        <x:v>套</x:v>
      </x:c>
      <x:c r="G11" s="55" t="n">
        <x:v>1</x:v>
      </x:c>
      <x:c r="H11" s="55" t="n">
        <x:v>1</x:v>
      </x:c>
      <x:c r="I11" s="55" t="n">
        <x:v>0</x:v>
      </x:c>
      <x:c r="J11" s="55" t="n">
        <x:v>0</x:v>
      </x:c>
      <x:c r="K11" s="54" t="n">
        <x:f>MAX(0,G11-J11)</x:f>
        <x:v>1</x:v>
      </x:c>
      <x:c r="L11" s="54" t="n">
        <x:f>MAX(0,H11-J11)</x:f>
        <x:v>1</x:v>
      </x:c>
      <x:c r="M11" s="54" t="n">
        <x:f>MAX(0,I11-MAX(0,J11-H11))</x:f>
        <x:v>0</x:v>
      </x:c>
      <x:c r="N11" s="62"/>
      <x:c r="O11" s="61" t="str">
        <x:f>IF(N11="","",K11*N11)</x:f>
      </x:c>
      <x:c r="P11" s="61" t="str">
        <x:f>IF(N11="","",L11*N11)</x:f>
      </x:c>
      <x:c r="Q11" s="61" t="str">
        <x:f>IF(N11="","",M11*N11)</x:f>
      </x:c>
      <x:c r="R11" s="42" t="str">
        <x:v>待选型</x:v>
      </x:c>
      <x:c r="S11" s="42"/>
      <x:c r="T11" s="67"/>
      <x:c r="U11" s="42" t="str">
        <x:v>建议模块化安装；需结合重心、浮心与推进器布局</x:v>
      </x:c>
    </x:row>
    <x:row r="12">
      <x:c r="A12" s="41" t="str">
        <x:v>CPI-MECH-005</x:v>
      </x:c>
      <x:c r="B12" s="41" t="str">
        <x:v>机械结构</x:v>
      </x:c>
      <x:c r="C12" s="41" t="str">
        <x:v>二级部件</x:v>
      </x:c>
      <x:c r="D12" s="41" t="str">
        <x:v>舱内安装板</x:v>
      </x:c>
      <x:c r="E12" s="41" t="str">
        <x:v>适配160×300 mm舱体</x:v>
      </x:c>
      <x:c r="F12" s="41" t="str">
        <x:v>件</x:v>
      </x:c>
      <x:c r="G12" s="53" t="n">
        <x:v>1</x:v>
      </x:c>
      <x:c r="H12" s="53" t="n">
        <x:v>2</x:v>
      </x:c>
      <x:c r="I12" s="53" t="n">
        <x:v>0</x:v>
      </x:c>
      <x:c r="J12" s="53" t="n">
        <x:v>0</x:v>
      </x:c>
      <x:c r="K12" s="54" t="n">
        <x:f>MAX(0,G12-J12)</x:f>
        <x:v>1</x:v>
      </x:c>
      <x:c r="L12" s="54" t="n">
        <x:f>MAX(0,H12-J12)</x:f>
        <x:v>2</x:v>
      </x:c>
      <x:c r="M12" s="54" t="n">
        <x:f>MAX(0,I12-MAX(0,J12-H12))</x:f>
        <x:v>0</x:v>
      </x:c>
      <x:c r="N12" s="60"/>
      <x:c r="O12" s="61" t="str">
        <x:f>IF(N12="","",K12*N12)</x:f>
      </x:c>
      <x:c r="P12" s="61" t="str">
        <x:f>IF(N12="","",L12*N12)</x:f>
      </x:c>
      <x:c r="Q12" s="61" t="str">
        <x:f>IF(N12="","",M12*N12)</x:f>
      </x:c>
      <x:c r="R12" s="41" t="str">
        <x:v>待选型</x:v>
      </x:c>
      <x:c r="S12" s="41"/>
      <x:c r="T12" s="66"/>
      <x:c r="U12" s="41" t="str">
        <x:v>用于飞控、树莓派与电源模块分层安装</x:v>
      </x:c>
    </x:row>
    <x:row r="13">
      <x:c r="A13" s="42" t="str">
        <x:v>CPI-MECH-006</x:v>
      </x:c>
      <x:c r="B13" s="42" t="str">
        <x:v>机械结构</x:v>
      </x:c>
      <x:c r="C13" s="42" t="str">
        <x:v>二级部件</x:v>
      </x:c>
      <x:c r="D13" s="42" t="str">
        <x:v>推进器安装支架</x:v>
      </x:c>
      <x:c r="E13" s="42" t="str">
        <x:v>适配TS60 / 四推进器布局</x:v>
      </x:c>
      <x:c r="F13" s="42" t="str">
        <x:v>个</x:v>
      </x:c>
      <x:c r="G13" s="55" t="n">
        <x:v>1</x:v>
      </x:c>
      <x:c r="H13" s="55" t="n">
        <x:v>4</x:v>
      </x:c>
      <x:c r="I13" s="55" t="n">
        <x:v>0</x:v>
      </x:c>
      <x:c r="J13" s="55" t="n">
        <x:v>0</x:v>
      </x:c>
      <x:c r="K13" s="54" t="n">
        <x:f>MAX(0,G13-J13)</x:f>
        <x:v>1</x:v>
      </x:c>
      <x:c r="L13" s="54" t="n">
        <x:f>MAX(0,H13-J13)</x:f>
        <x:v>4</x:v>
      </x:c>
      <x:c r="M13" s="54" t="n">
        <x:f>MAX(0,I13-MAX(0,J13-H13))</x:f>
        <x:v>0</x:v>
      </x:c>
      <x:c r="N13" s="62"/>
      <x:c r="O13" s="61" t="str">
        <x:f>IF(N13="","",K13*N13)</x:f>
      </x:c>
      <x:c r="P13" s="61" t="str">
        <x:f>IF(N13="","",L13*N13)</x:f>
      </x:c>
      <x:c r="Q13" s="61" t="str">
        <x:f>IF(N13="","",M13*N13)</x:f>
      </x:c>
      <x:c r="R13" s="42" t="str">
        <x:v>待选型</x:v>
      </x:c>
      <x:c r="S13" s="42"/>
      <x:c r="T13" s="67"/>
      <x:c r="U13" s="42" t="str">
        <x:v>支架角度按4自由度布置确认</x:v>
      </x:c>
    </x:row>
    <x:row r="14">
      <x:c r="A14" s="41" t="str">
        <x:v>CPI-MECH-007</x:v>
      </x:c>
      <x:c r="B14" s="41" t="str">
        <x:v>机械结构</x:v>
      </x:c>
      <x:c r="C14" s="41" t="str">
        <x:v>二级部件</x:v>
      </x:c>
      <x:c r="D14" s="41" t="str">
        <x:v>浮力材料组件</x:v>
      </x:c>
      <x:c r="E14" s="41" t="str">
        <x:v>闭孔浮力材料 / 目标微正浮力</x:v>
      </x:c>
      <x:c r="F14" s="41" t="str">
        <x:v>套</x:v>
      </x:c>
      <x:c r="G14" s="53" t="n">
        <x:v>1</x:v>
      </x:c>
      <x:c r="H14" s="53" t="n">
        <x:v>1</x:v>
      </x:c>
      <x:c r="I14" s="53" t="n">
        <x:v>0</x:v>
      </x:c>
      <x:c r="J14" s="53" t="n">
        <x:v>0</x:v>
      </x:c>
      <x:c r="K14" s="54" t="n">
        <x:f>MAX(0,G14-J14)</x:f>
        <x:v>1</x:v>
      </x:c>
      <x:c r="L14" s="54" t="n">
        <x:f>MAX(0,H14-J14)</x:f>
        <x:v>1</x:v>
      </x:c>
      <x:c r="M14" s="54" t="n">
        <x:f>MAX(0,I14-MAX(0,J14-H14))</x:f>
        <x:v>0</x:v>
      </x:c>
      <x:c r="N14" s="60"/>
      <x:c r="O14" s="61" t="str">
        <x:f>IF(N14="","",K14*N14)</x:f>
      </x:c>
      <x:c r="P14" s="61" t="str">
        <x:f>IF(N14="","",L14*N14)</x:f>
      </x:c>
      <x:c r="Q14" s="61" t="str">
        <x:f>IF(N14="","",M14*N14)</x:f>
      </x:c>
      <x:c r="R14" s="41" t="str">
        <x:v>待选型</x:v>
      </x:c>
      <x:c r="S14" s="41"/>
      <x:c r="T14" s="66"/>
      <x:c r="U14" s="41" t="str">
        <x:v>需在整机称重后校核体积与布置</x:v>
      </x:c>
    </x:row>
    <x:row r="15">
      <x:c r="A15" s="42" t="str">
        <x:v>CPI-MECH-008</x:v>
      </x:c>
      <x:c r="B15" s="42" t="str">
        <x:v>机械结构</x:v>
      </x:c>
      <x:c r="C15" s="42" t="str">
        <x:v>二级部件</x:v>
      </x:c>
      <x:c r="D15" s="42" t="str">
        <x:v>可调配重组件</x:v>
      </x:c>
      <x:c r="E15" s="42" t="str">
        <x:v>耐腐蚀配重 / 可移动安装</x:v>
      </x:c>
      <x:c r="F15" s="42" t="str">
        <x:v>套</x:v>
      </x:c>
      <x:c r="G15" s="55" t="n">
        <x:v>1</x:v>
      </x:c>
      <x:c r="H15" s="55" t="n">
        <x:v>1</x:v>
      </x:c>
      <x:c r="I15" s="55" t="n">
        <x:v>0</x:v>
      </x:c>
      <x:c r="J15" s="55" t="n">
        <x:v>0</x:v>
      </x:c>
      <x:c r="K15" s="54" t="n">
        <x:f>MAX(0,G15-J15)</x:f>
        <x:v>1</x:v>
      </x:c>
      <x:c r="L15" s="54" t="n">
        <x:f>MAX(0,H15-J15)</x:f>
        <x:v>1</x:v>
      </x:c>
      <x:c r="M15" s="54" t="n">
        <x:f>MAX(0,I15-MAX(0,J15-H15))</x:f>
        <x:v>0</x:v>
      </x:c>
      <x:c r="N15" s="62"/>
      <x:c r="O15" s="61" t="str">
        <x:f>IF(N15="","",K15*N15)</x:f>
      </x:c>
      <x:c r="P15" s="61" t="str">
        <x:f>IF(N15="","",L15*N15)</x:f>
      </x:c>
      <x:c r="Q15" s="61" t="str">
        <x:f>IF(N15="","",M15*N15)</x:f>
      </x:c>
      <x:c r="R15" s="42" t="str">
        <x:v>待选型</x:v>
      </x:c>
      <x:c r="S15" s="42"/>
      <x:c r="T15" s="67"/>
      <x:c r="U15" s="42" t="str">
        <x:v>用于静态姿态与浮心重心调节</x:v>
      </x:c>
    </x:row>
    <x:row r="16">
      <x:c r="A16" s="41" t="str">
        <x:v>CPI-PROP-001</x:v>
      </x:c>
      <x:c r="B16" s="41" t="str">
        <x:v>动力</x:v>
      </x:c>
      <x:c r="C16" s="41" t="str">
        <x:v>一级部件</x:v>
      </x:c>
      <x:c r="D16" s="41" t="str">
        <x:v>TS60水下推进器</x:v>
      </x:c>
      <x:c r="E16" s="41" t="str">
        <x:v>蓝黑500/12V</x:v>
      </x:c>
      <x:c r="F16" s="41" t="str">
        <x:v>个</x:v>
      </x:c>
      <x:c r="G16" s="53" t="n">
        <x:v>1</x:v>
      </x:c>
      <x:c r="H16" s="53" t="n">
        <x:v>4</x:v>
      </x:c>
      <x:c r="I16" s="53" t="n">
        <x:v>0</x:v>
      </x:c>
      <x:c r="J16" s="53" t="n">
        <x:v>1</x:v>
      </x:c>
      <x:c r="K16" s="54" t="n">
        <x:f>MAX(0,G16-J16)</x:f>
        <x:v>0</x:v>
      </x:c>
      <x:c r="L16" s="54" t="n">
        <x:f>MAX(0,H16-J16)</x:f>
        <x:v>3</x:v>
      </x:c>
      <x:c r="M16" s="54" t="n">
        <x:f>MAX(0,I16-MAX(0,J16-H16))</x:f>
        <x:v>0</x:v>
      </x:c>
      <x:c r="N16" s="60" t="n">
        <x:v>189</x:v>
      </x:c>
      <x:c r="O16" s="61" t="n">
        <x:f>IF(N16="","",K16*N16)</x:f>
        <x:v>0</x:v>
      </x:c>
      <x:c r="P16" s="61" t="n">
        <x:f>IF(N16="","",L16*N16)</x:f>
        <x:v>567</x:v>
      </x:c>
      <x:c r="Q16" s="61" t="n">
        <x:f>IF(N16="","",M16*N16)</x:f>
        <x:v>0</x:v>
      </x:c>
      <x:c r="R16" s="41" t="str">
        <x:v>部分已有</x:v>
      </x:c>
      <x:c r="S16" s="41" t="str">
        <x:v>ZC-20260713-009</x:v>
      </x:c>
      <x:c r="T16" s="66" t="n">
        <x:v>46216</x:v>
      </x:c>
      <x:c r="U16" s="41" t="str">
        <x:v>第一版四推进器；现有1个，需补足3个</x:v>
      </x:c>
    </x:row>
    <x:row r="17">
      <x:c r="A17" s="42" t="str">
        <x:v>CPI-PROP-002</x:v>
      </x:c>
      <x:c r="B17" s="42" t="str">
        <x:v>动力</x:v>
      </x:c>
      <x:c r="C17" s="42" t="str">
        <x:v>一级部件</x:v>
      </x:c>
      <x:c r="D17" s="42" t="str">
        <x:v>35A双向水下电调</x:v>
      </x:c>
      <x:c r="E17" s="42" t="str">
        <x:v>35A / 双向无刷 / 水下动力</x:v>
      </x:c>
      <x:c r="F17" s="42" t="str">
        <x:v>个</x:v>
      </x:c>
      <x:c r="G17" s="55" t="n">
        <x:v>1</x:v>
      </x:c>
      <x:c r="H17" s="55" t="n">
        <x:v>4</x:v>
      </x:c>
      <x:c r="I17" s="55" t="n">
        <x:v>0</x:v>
      </x:c>
      <x:c r="J17" s="55" t="n">
        <x:v>1</x:v>
      </x:c>
      <x:c r="K17" s="54" t="n">
        <x:f>MAX(0,G17-J17)</x:f>
        <x:v>0</x:v>
      </x:c>
      <x:c r="L17" s="54" t="n">
        <x:f>MAX(0,H17-J17)</x:f>
        <x:v>3</x:v>
      </x:c>
      <x:c r="M17" s="54" t="n">
        <x:f>MAX(0,I17-MAX(0,J17-H17))</x:f>
        <x:v>0</x:v>
      </x:c>
      <x:c r="N17" s="62" t="n">
        <x:v>95</x:v>
      </x:c>
      <x:c r="O17" s="61" t="n">
        <x:f>IF(N17="","",K17*N17)</x:f>
        <x:v>0</x:v>
      </x:c>
      <x:c r="P17" s="61" t="n">
        <x:f>IF(N17="","",L17*N17)</x:f>
        <x:v>285</x:v>
      </x:c>
      <x:c r="Q17" s="61" t="n">
        <x:f>IF(N17="","",M17*N17)</x:f>
        <x:v>0</x:v>
      </x:c>
      <x:c r="R17" s="42" t="str">
        <x:v>部分已有</x:v>
      </x:c>
      <x:c r="S17" s="42" t="str">
        <x:v>ZC-20260713-011</x:v>
      </x:c>
      <x:c r="T17" s="67" t="n">
        <x:v>46216</x:v>
      </x:c>
      <x:c r="U17" s="42" t="str">
        <x:v>每个推进器配置1个电调</x:v>
      </x:c>
    </x:row>
    <x:row r="18">
      <x:c r="A18" s="41" t="str">
        <x:v>CPI-POWER-001</x:v>
      </x:c>
      <x:c r="B18" s="41" t="str">
        <x:v>电源</x:v>
      </x:c>
      <x:c r="C18" s="41" t="str">
        <x:v>一级部件</x:v>
      </x:c>
      <x:c r="D18" s="41" t="str">
        <x:v>XT60 Hub分电板</x:v>
      </x:c>
      <x:c r="E18" s="41" t="str">
        <x:v>一拖四扩展板/集线器</x:v>
      </x:c>
      <x:c r="F18" s="41" t="str">
        <x:v>个</x:v>
      </x:c>
      <x:c r="G18" s="53" t="n">
        <x:v>1</x:v>
      </x:c>
      <x:c r="H18" s="53" t="n">
        <x:v>1</x:v>
      </x:c>
      <x:c r="I18" s="53" t="n">
        <x:v>0</x:v>
      </x:c>
      <x:c r="J18" s="53" t="n">
        <x:v>1</x:v>
      </x:c>
      <x:c r="K18" s="54" t="n">
        <x:f>MAX(0,G18-J18)</x:f>
        <x:v>0</x:v>
      </x:c>
      <x:c r="L18" s="54" t="n">
        <x:f>MAX(0,H18-J18)</x:f>
        <x:v>0</x:v>
      </x:c>
      <x:c r="M18" s="54" t="n">
        <x:f>MAX(0,I18-MAX(0,J18-H18))</x:f>
        <x:v>0</x:v>
      </x:c>
      <x:c r="N18" s="60" t="n">
        <x:v>29.9</x:v>
      </x:c>
      <x:c r="O18" s="61" t="n">
        <x:f>IF(N18="","",K18*N18)</x:f>
        <x:v>0</x:v>
      </x:c>
      <x:c r="P18" s="61" t="n">
        <x:f>IF(N18="","",L18*N18)</x:f>
        <x:v>0</x:v>
      </x:c>
      <x:c r="Q18" s="61" t="n">
        <x:f>IF(N18="","",M18*N18)</x:f>
        <x:v>0</x:v>
      </x:c>
      <x:c r="R18" s="41" t="str">
        <x:v>已有</x:v>
      </x:c>
      <x:c r="S18" s="41" t="str">
        <x:v>ZC-20260713-005</x:v>
      </x:c>
      <x:c r="T18" s="66" t="n">
        <x:v>46216</x:v>
      </x:c>
      <x:c r="U18" s="41" t="str">
        <x:v>动力母线分配</x:v>
      </x:c>
    </x:row>
    <x:row r="19">
      <x:c r="A19" s="42" t="str">
        <x:v>CPI-POWER-002</x:v>
      </x:c>
      <x:c r="B19" s="42" t="str">
        <x:v>电源</x:v>
      </x:c>
      <x:c r="C19" s="42" t="str">
        <x:v>一级部件</x:v>
      </x:c>
      <x:c r="D19" s="42" t="str">
        <x:v>博立方电源模块</x:v>
      </x:c>
      <x:c r="E19" s="42" t="str">
        <x:v>2S-12S / 5.3V BEC / XT60</x:v>
      </x:c>
      <x:c r="F19" s="42" t="str">
        <x:v>个</x:v>
      </x:c>
      <x:c r="G19" s="55" t="n">
        <x:v>1</x:v>
      </x:c>
      <x:c r="H19" s="55" t="n">
        <x:v>1</x:v>
      </x:c>
      <x:c r="I19" s="55" t="n">
        <x:v>0</x:v>
      </x:c>
      <x:c r="J19" s="55" t="n">
        <x:v>1</x:v>
      </x:c>
      <x:c r="K19" s="54" t="n">
        <x:f>MAX(0,G19-J19)</x:f>
        <x:v>0</x:v>
      </x:c>
      <x:c r="L19" s="54" t="n">
        <x:f>MAX(0,H19-J19)</x:f>
        <x:v>0</x:v>
      </x:c>
      <x:c r="M19" s="54" t="n">
        <x:f>MAX(0,I19-MAX(0,J19-H19))</x:f>
        <x:v>0</x:v>
      </x:c>
      <x:c r="N19" s="62" t="n">
        <x:v>71.24</x:v>
      </x:c>
      <x:c r="O19" s="61" t="n">
        <x:f>IF(N19="","",K19*N19)</x:f>
        <x:v>0</x:v>
      </x:c>
      <x:c r="P19" s="61" t="n">
        <x:f>IF(N19="","",L19*N19)</x:f>
        <x:v>0</x:v>
      </x:c>
      <x:c r="Q19" s="61" t="n">
        <x:f>IF(N19="","",M19*N19)</x:f>
        <x:v>0</x:v>
      </x:c>
      <x:c r="R19" s="42" t="str">
        <x:v>已有</x:v>
      </x:c>
      <x:c r="S19" s="42" t="str">
        <x:v>ZC-20260713-006</x:v>
      </x:c>
      <x:c r="T19" s="67" t="n">
        <x:v>46216</x:v>
      </x:c>
      <x:c r="U19" s="42" t="str">
        <x:v>飞控电源与电压电流监测</x:v>
      </x:c>
    </x:row>
    <x:row r="20">
      <x:c r="A20" s="41" t="str">
        <x:v>CPI-POWER-003</x:v>
      </x:c>
      <x:c r="B20" s="41" t="str">
        <x:v>电源</x:v>
      </x:c>
      <x:c r="C20" s="41" t="str">
        <x:v>一级部件</x:v>
      </x:c>
      <x:c r="D20" s="41" t="str">
        <x:v>DC-DC 5V 10A降压模块</x:v>
      </x:c>
      <x:c r="E20" s="41" t="str">
        <x:v>QS-1205CBUM-10A</x:v>
      </x:c>
      <x:c r="F20" s="41" t="str">
        <x:v>个</x:v>
      </x:c>
      <x:c r="G20" s="53" t="n">
        <x:v>1</x:v>
      </x:c>
      <x:c r="H20" s="53" t="n">
        <x:v>1</x:v>
      </x:c>
      <x:c r="I20" s="53" t="n">
        <x:v>0</x:v>
      </x:c>
      <x:c r="J20" s="53" t="n">
        <x:v>1</x:v>
      </x:c>
      <x:c r="K20" s="54" t="n">
        <x:f>MAX(0,G20-J20)</x:f>
        <x:v>0</x:v>
      </x:c>
      <x:c r="L20" s="54" t="n">
        <x:f>MAX(0,H20-J20)</x:f>
        <x:v>0</x:v>
      </x:c>
      <x:c r="M20" s="54" t="n">
        <x:f>MAX(0,I20-MAX(0,J20-H20))</x:f>
        <x:v>0</x:v>
      </x:c>
      <x:c r="N20" s="60" t="n">
        <x:v>17.6</x:v>
      </x:c>
      <x:c r="O20" s="61" t="n">
        <x:f>IF(N20="","",K20*N20)</x:f>
        <x:v>0</x:v>
      </x:c>
      <x:c r="P20" s="61" t="n">
        <x:f>IF(N20="","",L20*N20)</x:f>
        <x:v>0</x:v>
      </x:c>
      <x:c r="Q20" s="61" t="n">
        <x:f>IF(N20="","",M20*N20)</x:f>
        <x:v>0</x:v>
      </x:c>
      <x:c r="R20" s="41" t="str">
        <x:v>已有</x:v>
      </x:c>
      <x:c r="S20" s="41" t="str">
        <x:v>ZC-20260729-001</x:v>
      </x:c>
      <x:c r="T20" s="66" t="n">
        <x:v>46232</x:v>
      </x:c>
      <x:c r="U20" s="41" t="str">
        <x:v>树莓派及低压设备供电</x:v>
      </x:c>
    </x:row>
    <x:row r="21">
      <x:c r="A21" s="42" t="str">
        <x:v>CPI-POWER-004</x:v>
      </x:c>
      <x:c r="B21" s="42" t="str">
        <x:v>电源</x:v>
      </x:c>
      <x:c r="C21" s="42" t="str">
        <x:v>一级部件</x:v>
      </x:c>
      <x:c r="D21" s="42" t="str">
        <x:v>ROV大电流电源控制板</x:v>
      </x:c>
      <x:c r="E21" s="42" t="str">
        <x:v>5V/12V输出 / 板载大电流MOS开关</x:v>
      </x:c>
      <x:c r="F21" s="42" t="str">
        <x:v>个</x:v>
      </x:c>
      <x:c r="G21" s="55" t="n">
        <x:v>1</x:v>
      </x:c>
      <x:c r="H21" s="55" t="n">
        <x:v>1</x:v>
      </x:c>
      <x:c r="I21" s="55" t="n">
        <x:v>0</x:v>
      </x:c>
      <x:c r="J21" s="55" t="n">
        <x:v>1</x:v>
      </x:c>
      <x:c r="K21" s="54" t="n">
        <x:f>MAX(0,G21-J21)</x:f>
        <x:v>0</x:v>
      </x:c>
      <x:c r="L21" s="54" t="n">
        <x:f>MAX(0,H21-J21)</x:f>
        <x:v>0</x:v>
      </x:c>
      <x:c r="M21" s="54" t="n">
        <x:f>MAX(0,I21-MAX(0,J21-H21))</x:f>
        <x:v>0</x:v>
      </x:c>
      <x:c r="N21" s="62" t="n">
        <x:v>249</x:v>
      </x:c>
      <x:c r="O21" s="61" t="n">
        <x:f>IF(N21="","",K21*N21)</x:f>
        <x:v>0</x:v>
      </x:c>
      <x:c r="P21" s="61" t="n">
        <x:f>IF(N21="","",L21*N21)</x:f>
        <x:v>0</x:v>
      </x:c>
      <x:c r="Q21" s="61" t="n">
        <x:f>IF(N21="","",M21*N21)</x:f>
        <x:v>0</x:v>
      </x:c>
      <x:c r="R21" s="42" t="str">
        <x:v>已有</x:v>
      </x:c>
      <x:c r="S21" s="42" t="str">
        <x:v>ZC-20260807-001</x:v>
      </x:c>
      <x:c r="T21" s="67" t="n">
        <x:v>46241</x:v>
      </x:c>
      <x:c r="U21" s="42" t="str">
        <x:v>主电源控制</x:v>
      </x:c>
    </x:row>
    <x:row r="22">
      <x:c r="A22" s="41" t="str">
        <x:v>CPI-POWER-005</x:v>
      </x:c>
      <x:c r="B22" s="41" t="str">
        <x:v>电源</x:v>
      </x:c>
      <x:c r="C22" s="41" t="str">
        <x:v>二级部件</x:v>
      </x:c>
      <x:c r="D22" s="41" t="str">
        <x:v>M10水下旋钮开关</x:v>
      </x:c>
      <x:c r="E22" s="41" t="str">
        <x:v>大深水旋钮开关 / M10</x:v>
      </x:c>
      <x:c r="F22" s="41" t="str">
        <x:v>个</x:v>
      </x:c>
      <x:c r="G22" s="53" t="n">
        <x:v>1</x:v>
      </x:c>
      <x:c r="H22" s="53" t="n">
        <x:v>1</x:v>
      </x:c>
      <x:c r="I22" s="53" t="n">
        <x:v>0</x:v>
      </x:c>
      <x:c r="J22" s="53" t="n">
        <x:v>1</x:v>
      </x:c>
      <x:c r="K22" s="54" t="n">
        <x:f>MAX(0,G22-J22)</x:f>
        <x:v>0</x:v>
      </x:c>
      <x:c r="L22" s="54" t="n">
        <x:f>MAX(0,H22-J22)</x:f>
        <x:v>0</x:v>
      </x:c>
      <x:c r="M22" s="54" t="n">
        <x:f>MAX(0,I22-MAX(0,J22-H22))</x:f>
        <x:v>0</x:v>
      </x:c>
      <x:c r="N22" s="60" t="n">
        <x:v>93.58</x:v>
      </x:c>
      <x:c r="O22" s="61" t="n">
        <x:f>IF(N22="","",K22*N22)</x:f>
        <x:v>0</x:v>
      </x:c>
      <x:c r="P22" s="61" t="n">
        <x:f>IF(N22="","",L22*N22)</x:f>
        <x:v>0</x:v>
      </x:c>
      <x:c r="Q22" s="61" t="n">
        <x:f>IF(N22="","",M22*N22)</x:f>
        <x:v>0</x:v>
      </x:c>
      <x:c r="R22" s="41" t="str">
        <x:v>已有</x:v>
      </x:c>
      <x:c r="S22" s="41" t="str">
        <x:v>ZC-20260807-002</x:v>
      </x:c>
      <x:c r="T22" s="66" t="n">
        <x:v>46241</x:v>
      </x:c>
      <x:c r="U22" s="41" t="str">
        <x:v>外部电源控制</x:v>
      </x:c>
    </x:row>
    <x:row r="23">
      <x:c r="A23" s="42" t="str">
        <x:v>CPI-POWER-006</x:v>
      </x:c>
      <x:c r="B23" s="42" t="str">
        <x:v>电源</x:v>
      </x:c>
      <x:c r="C23" s="42" t="str">
        <x:v>一级部件</x:v>
      </x:c>
      <x:c r="D23" s="42" t="str">
        <x:v>调试用4S锂电池</x:v>
      </x:c>
      <x:c r="E23" s="42" t="str">
        <x:v>14.8V 5000mAh / 长条</x:v>
      </x:c>
      <x:c r="F23" s="42" t="str">
        <x:v>组</x:v>
      </x:c>
      <x:c r="G23" s="55" t="n">
        <x:v>1</x:v>
      </x:c>
      <x:c r="H23" s="55" t="n">
        <x:v>0</x:v>
      </x:c>
      <x:c r="I23" s="55" t="n">
        <x:v>0</x:v>
      </x:c>
      <x:c r="J23" s="55" t="n">
        <x:v>1</x:v>
      </x:c>
      <x:c r="K23" s="54" t="n">
        <x:f>MAX(0,G23-J23)</x:f>
        <x:v>0</x:v>
      </x:c>
      <x:c r="L23" s="54" t="n">
        <x:f>MAX(0,H23-J23)</x:f>
        <x:v>0</x:v>
      </x:c>
      <x:c r="M23" s="54" t="n">
        <x:f>MAX(0,I23-MAX(0,J23-H23))</x:f>
        <x:v>0</x:v>
      </x:c>
      <x:c r="N23" s="62" t="n">
        <x:v>74.82</x:v>
      </x:c>
      <x:c r="O23" s="61" t="n">
        <x:f>IF(N23="","",K23*N23)</x:f>
        <x:v>0</x:v>
      </x:c>
      <x:c r="P23" s="61" t="n">
        <x:f>IF(N23="","",L23*N23)</x:f>
        <x:v>0</x:v>
      </x:c>
      <x:c r="Q23" s="61" t="n">
        <x:f>IF(N23="","",M23*N23)</x:f>
        <x:v>0</x:v>
      </x:c>
      <x:c r="R23" s="42" t="str">
        <x:v>已有</x:v>
      </x:c>
      <x:c r="S23" s="42" t="str">
        <x:v>ZC-20260713-007</x:v>
      </x:c>
      <x:c r="T23" s="67" t="n">
        <x:v>46216</x:v>
      </x:c>
      <x:c r="U23" s="42" t="str">
        <x:v>仅用于调试，不作为第一版续航电池</x:v>
      </x:c>
    </x:row>
    <x:row r="24">
      <x:c r="A24" s="41" t="str">
        <x:v>CPI-POWER-007</x:v>
      </x:c>
      <x:c r="B24" s="41" t="str">
        <x:v>电源</x:v>
      </x:c>
      <x:c r="C24" s="41" t="str">
        <x:v>一级部件</x:v>
      </x:c>
      <x:c r="D24" s="41" t="str">
        <x:v>第一版高容量动力电池</x:v>
      </x:c>
      <x:c r="E24" s="41" t="str">
        <x:v>4S高放电锂电 / 建议20-30Ah区间 / 尺寸与容量待功耗实测</x:v>
      </x:c>
      <x:c r="F24" s="41" t="str">
        <x:v>组</x:v>
      </x:c>
      <x:c r="G24" s="53" t="n">
        <x:v>0</x:v>
      </x:c>
      <x:c r="H24" s="53" t="n">
        <x:v>1</x:v>
      </x:c>
      <x:c r="I24" s="53" t="n">
        <x:v>0</x:v>
      </x:c>
      <x:c r="J24" s="53" t="n">
        <x:v>0</x:v>
      </x:c>
      <x:c r="K24" s="54" t="n">
        <x:f>MAX(0,G24-J24)</x:f>
        <x:v>0</x:v>
      </x:c>
      <x:c r="L24" s="54" t="n">
        <x:f>MAX(0,H24-J24)</x:f>
        <x:v>1</x:v>
      </x:c>
      <x:c r="M24" s="54" t="n">
        <x:f>MAX(0,I24-MAX(0,J24-H24))</x:f>
        <x:v>0</x:v>
      </x:c>
      <x:c r="N24" s="60"/>
      <x:c r="O24" s="61" t="str">
        <x:f>IF(N24="","",K24*N24)</x:f>
      </x:c>
      <x:c r="P24" s="61" t="str">
        <x:f>IF(N24="","",L24*N24)</x:f>
      </x:c>
      <x:c r="Q24" s="61" t="str">
        <x:f>IF(N24="","",M24*N24)</x:f>
      </x:c>
      <x:c r="R24" s="41" t="str">
        <x:v>待选型</x:v>
      </x:c>
      <x:c r="S24" s="41"/>
      <x:c r="T24" s="66"/>
      <x:c r="U24" s="41" t="str">
        <x:v>按1-2h续航目标，以平均电流、可用放电深度和舱内容积校核</x:v>
      </x:c>
    </x:row>
    <x:row r="25">
      <x:c r="A25" s="42" t="str">
        <x:v>CPI-POWER-008</x:v>
      </x:c>
      <x:c r="B25" s="42" t="str">
        <x:v>电源</x:v>
      </x:c>
      <x:c r="C25" s="42" t="str">
        <x:v>二级部件</x:v>
      </x:c>
      <x:c r="D25" s="42" t="str">
        <x:v>主回路保险丝座</x:v>
      </x:c>
      <x:c r="E25" s="42" t="str">
        <x:v>适配4S动力母线 / 额定电流待实测</x:v>
      </x:c>
      <x:c r="F25" s="42" t="str">
        <x:v>套</x:v>
      </x:c>
      <x:c r="G25" s="55" t="n">
        <x:v>1</x:v>
      </x:c>
      <x:c r="H25" s="55" t="n">
        <x:v>1</x:v>
      </x:c>
      <x:c r="I25" s="55" t="n">
        <x:v>0</x:v>
      </x:c>
      <x:c r="J25" s="55" t="n">
        <x:v>0</x:v>
      </x:c>
      <x:c r="K25" s="54" t="n">
        <x:f>MAX(0,G25-J25)</x:f>
        <x:v>1</x:v>
      </x:c>
      <x:c r="L25" s="54" t="n">
        <x:f>MAX(0,H25-J25)</x:f>
        <x:v>1</x:v>
      </x:c>
      <x:c r="M25" s="54" t="n">
        <x:f>MAX(0,I25-MAX(0,J25-H25))</x:f>
        <x:v>0</x:v>
      </x:c>
      <x:c r="N25" s="62"/>
      <x:c r="O25" s="61" t="str">
        <x:f>IF(N25="","",K25*N25)</x:f>
      </x:c>
      <x:c r="P25" s="61" t="str">
        <x:f>IF(N25="","",L25*N25)</x:f>
      </x:c>
      <x:c r="Q25" s="61" t="str">
        <x:f>IF(N25="","",M25*N25)</x:f>
      </x:c>
      <x:c r="R25" s="42" t="str">
        <x:v>待选型</x:v>
      </x:c>
      <x:c r="S25" s="42"/>
      <x:c r="T25" s="67"/>
      <x:c r="U25" s="42" t="str">
        <x:v>靠近电池正极布置</x:v>
      </x:c>
    </x:row>
    <x:row r="26">
      <x:c r="A26" s="41" t="str">
        <x:v>CPI-POWER-009</x:v>
      </x:c>
      <x:c r="B26" s="41" t="str">
        <x:v>电源</x:v>
      </x:c>
      <x:c r="C26" s="41" t="str">
        <x:v>二级部件</x:v>
      </x:c>
      <x:c r="D26" s="41" t="str">
        <x:v>支路保险丝</x:v>
      </x:c>
      <x:c r="E26" s="41" t="str">
        <x:v>推进器4路+低压与照明支路 / 规格待负载确认</x:v>
      </x:c>
      <x:c r="F26" s="41" t="str">
        <x:v>个</x:v>
      </x:c>
      <x:c r="G26" s="53" t="n">
        <x:v>3</x:v>
      </x:c>
      <x:c r="H26" s="53" t="n">
        <x:v>6</x:v>
      </x:c>
      <x:c r="I26" s="53" t="n">
        <x:v>0</x:v>
      </x:c>
      <x:c r="J26" s="53" t="n">
        <x:v>0</x:v>
      </x:c>
      <x:c r="K26" s="54" t="n">
        <x:f>MAX(0,G26-J26)</x:f>
        <x:v>3</x:v>
      </x:c>
      <x:c r="L26" s="54" t="n">
        <x:f>MAX(0,H26-J26)</x:f>
        <x:v>6</x:v>
      </x:c>
      <x:c r="M26" s="54" t="n">
        <x:f>MAX(0,I26-MAX(0,J26-H26))</x:f>
        <x:v>0</x:v>
      </x:c>
      <x:c r="N26" s="60"/>
      <x:c r="O26" s="61" t="str">
        <x:f>IF(N26="","",K26*N26)</x:f>
      </x:c>
      <x:c r="P26" s="61" t="str">
        <x:f>IF(N26="","",L26*N26)</x:f>
      </x:c>
      <x:c r="Q26" s="61" t="str">
        <x:f>IF(N26="","",M26*N26)</x:f>
      </x:c>
      <x:c r="R26" s="41" t="str">
        <x:v>待选型</x:v>
      </x:c>
      <x:c r="S26" s="41"/>
      <x:c r="T26" s="66"/>
      <x:c r="U26" s="41" t="str">
        <x:v>按各支路最大工作电流选择</x:v>
      </x:c>
    </x:row>
    <x:row r="27">
      <x:c r="A27" s="42" t="str">
        <x:v>CPI-POWER-010</x:v>
      </x:c>
      <x:c r="B27" s="42" t="str">
        <x:v>电源</x:v>
      </x:c>
      <x:c r="C27" s="42" t="str">
        <x:v>二级部件</x:v>
      </x:c>
      <x:c r="D27" s="42" t="str">
        <x:v>XT60预制电源线</x:v>
      </x:c>
      <x:c r="E27" s="42" t="str">
        <x:v>XT60公头 / 12AWG / 30cm</x:v>
      </x:c>
      <x:c r="F27" s="42" t="str">
        <x:v>条</x:v>
      </x:c>
      <x:c r="G27" s="55" t="n">
        <x:v>2</x:v>
      </x:c>
      <x:c r="H27" s="55" t="n">
        <x:v>4</x:v>
      </x:c>
      <x:c r="I27" s="55" t="n">
        <x:v>0</x:v>
      </x:c>
      <x:c r="J27" s="55" t="n">
        <x:v>5</x:v>
      </x:c>
      <x:c r="K27" s="54" t="n">
        <x:f>MAX(0,G27-J27)</x:f>
        <x:v>0</x:v>
      </x:c>
      <x:c r="L27" s="54" t="n">
        <x:f>MAX(0,H27-J27)</x:f>
        <x:v>0</x:v>
      </x:c>
      <x:c r="M27" s="54" t="n">
        <x:f>MAX(0,I27-MAX(0,J27-H27))</x:f>
        <x:v>0</x:v>
      </x:c>
      <x:c r="N27" s="62" t="n">
        <x:v>5.2</x:v>
      </x:c>
      <x:c r="O27" s="61" t="n">
        <x:f>IF(N27="","",K27*N27)</x:f>
        <x:v>0</x:v>
      </x:c>
      <x:c r="P27" s="61" t="n">
        <x:f>IF(N27="","",L27*N27)</x:f>
        <x:v>0</x:v>
      </x:c>
      <x:c r="Q27" s="61" t="n">
        <x:f>IF(N27="","",M27*N27)</x:f>
        <x:v>0</x:v>
      </x:c>
      <x:c r="R27" s="42" t="str">
        <x:v>已有</x:v>
      </x:c>
      <x:c r="S27" s="42" t="str">
        <x:v>ZC-20260728-005</x:v>
      </x:c>
      <x:c r="T27" s="67" t="n">
        <x:v>46231</x:v>
      </x:c>
      <x:c r="U27" s="42" t="str">
        <x:v>现有采购为5条装</x:v>
      </x:c>
    </x:row>
    <x:row r="28">
      <x:c r="A28" s="41" t="str">
        <x:v>CPI-POWER-011</x:v>
      </x:c>
      <x:c r="B28" s="41" t="str">
        <x:v>电源</x:v>
      </x:c>
      <x:c r="C28" s="41" t="str">
        <x:v>三级部件</x:v>
      </x:c>
      <x:c r="D28" s="41" t="str">
        <x:v>12AWG硅胶电源线</x:v>
      </x:c>
      <x:c r="E28" s="41" t="str">
        <x:v>红黑双色 / 镀锡铜</x:v>
      </x:c>
      <x:c r="F28" s="41" t="str">
        <x:v>米</x:v>
      </x:c>
      <x:c r="G28" s="53" t="n">
        <x:v>2</x:v>
      </x:c>
      <x:c r="H28" s="53" t="n">
        <x:v>5</x:v>
      </x:c>
      <x:c r="I28" s="53" t="n">
        <x:v>0</x:v>
      </x:c>
      <x:c r="J28" s="53" t="n">
        <x:v>0</x:v>
      </x:c>
      <x:c r="K28" s="54" t="n">
        <x:f>MAX(0,G28-J28)</x:f>
        <x:v>2</x:v>
      </x:c>
      <x:c r="L28" s="54" t="n">
        <x:f>MAX(0,H28-J28)</x:f>
        <x:v>5</x:v>
      </x:c>
      <x:c r="M28" s="54" t="n">
        <x:f>MAX(0,I28-MAX(0,J28-H28))</x:f>
        <x:v>0</x:v>
      </x:c>
      <x:c r="N28" s="60"/>
      <x:c r="O28" s="61" t="str">
        <x:f>IF(N28="","",K28*N28)</x:f>
      </x:c>
      <x:c r="P28" s="61" t="str">
        <x:f>IF(N28="","",L28*N28)</x:f>
      </x:c>
      <x:c r="Q28" s="61" t="str">
        <x:f>IF(N28="","",M28*N28)</x:f>
      </x:c>
      <x:c r="R28" s="41" t="str">
        <x:v>待选型</x:v>
      </x:c>
      <x:c r="S28" s="41"/>
      <x:c r="T28" s="66"/>
      <x:c r="U28" s="41" t="str">
        <x:v>长度按舱内布线复核</x:v>
      </x:c>
    </x:row>
    <x:row r="29">
      <x:c r="A29" s="42" t="str">
        <x:v>CPI-POWER-012</x:v>
      </x:c>
      <x:c r="B29" s="42" t="str">
        <x:v>电源</x:v>
      </x:c>
      <x:c r="C29" s="42" t="str">
        <x:v>三级部件</x:v>
      </x:c>
      <x:c r="D29" s="42" t="str">
        <x:v>Type-C大电流供电线</x:v>
      </x:c>
      <x:c r="E29" s="42" t="str">
        <x:v>0.3m / Type-C公单头 / 0.5mm²</x:v>
      </x:c>
      <x:c r="F29" s="42" t="str">
        <x:v>条</x:v>
      </x:c>
      <x:c r="G29" s="55" t="n">
        <x:v>1</x:v>
      </x:c>
      <x:c r="H29" s="55" t="n">
        <x:v>1</x:v>
      </x:c>
      <x:c r="I29" s="55" t="n">
        <x:v>0</x:v>
      </x:c>
      <x:c r="J29" s="55" t="n">
        <x:v>1</x:v>
      </x:c>
      <x:c r="K29" s="54" t="n">
        <x:f>MAX(0,G29-J29)</x:f>
        <x:v>0</x:v>
      </x:c>
      <x:c r="L29" s="54" t="n">
        <x:f>MAX(0,H29-J29)</x:f>
        <x:v>0</x:v>
      </x:c>
      <x:c r="M29" s="54" t="n">
        <x:f>MAX(0,I29-MAX(0,J29-H29))</x:f>
        <x:v>0</x:v>
      </x:c>
      <x:c r="N29" s="62" t="n">
        <x:v>4.98</x:v>
      </x:c>
      <x:c r="O29" s="61" t="n">
        <x:f>IF(N29="","",K29*N29)</x:f>
        <x:v>0</x:v>
      </x:c>
      <x:c r="P29" s="61" t="n">
        <x:f>IF(N29="","",L29*N29)</x:f>
        <x:v>0</x:v>
      </x:c>
      <x:c r="Q29" s="61" t="n">
        <x:f>IF(N29="","",M29*N29)</x:f>
        <x:v>0</x:v>
      </x:c>
      <x:c r="R29" s="42" t="str">
        <x:v>已有</x:v>
      </x:c>
      <x:c r="S29" s="42" t="str">
        <x:v>ZC-20260810-001</x:v>
      </x:c>
      <x:c r="T29" s="67" t="n">
        <x:v>46244</x:v>
      </x:c>
      <x:c r="U29" s="42" t="str">
        <x:v>树莓派供电连接</x:v>
      </x:c>
    </x:row>
    <x:row r="30">
      <x:c r="A30" s="41" t="str">
        <x:v>CPI-CTRL-001</x:v>
      </x:c>
      <x:c r="B30" s="41" t="str">
        <x:v>控制</x:v>
      </x:c>
      <x:c r="C30" s="41" t="str">
        <x:v>一级部件</x:v>
      </x:c>
      <x:c r="D30" s="41" t="str">
        <x:v>树莓派4B开发板</x:v>
      </x:c>
      <x:c r="E30" s="41" t="str">
        <x:v>4B / 4GB</x:v>
      </x:c>
      <x:c r="F30" s="41" t="str">
        <x:v>块</x:v>
      </x:c>
      <x:c r="G30" s="53" t="n">
        <x:v>1</x:v>
      </x:c>
      <x:c r="H30" s="53" t="n">
        <x:v>1</x:v>
      </x:c>
      <x:c r="I30" s="53" t="n">
        <x:v>0</x:v>
      </x:c>
      <x:c r="J30" s="53" t="n">
        <x:v>1</x:v>
      </x:c>
      <x:c r="K30" s="54" t="n">
        <x:f>MAX(0,G30-J30)</x:f>
        <x:v>0</x:v>
      </x:c>
      <x:c r="L30" s="54" t="n">
        <x:f>MAX(0,H30-J30)</x:f>
        <x:v>0</x:v>
      </x:c>
      <x:c r="M30" s="54" t="n">
        <x:f>MAX(0,I30-MAX(0,J30-H30))</x:f>
        <x:v>0</x:v>
      </x:c>
      <x:c r="N30" s="60" t="n">
        <x:v>1511.21</x:v>
      </x:c>
      <x:c r="O30" s="61" t="n">
        <x:f>IF(N30="","",K30*N30)</x:f>
        <x:v>0</x:v>
      </x:c>
      <x:c r="P30" s="61" t="n">
        <x:f>IF(N30="","",L30*N30)</x:f>
        <x:v>0</x:v>
      </x:c>
      <x:c r="Q30" s="61" t="n">
        <x:f>IF(N30="","",M30*N30)</x:f>
        <x:v>0</x:v>
      </x:c>
      <x:c r="R30" s="41" t="str">
        <x:v>已有</x:v>
      </x:c>
      <x:c r="S30" s="41" t="str">
        <x:v>ZC-20260713-012</x:v>
      </x:c>
      <x:c r="T30" s="66" t="n">
        <x:v>46216</x:v>
      </x:c>
      <x:c r="U30" s="41" t="str">
        <x:v>第一版规划与控制计算平台</x:v>
      </x:c>
    </x:row>
    <x:row r="31">
      <x:c r="A31" s="42" t="str">
        <x:v>CPI-CTRL-002</x:v>
      </x:c>
      <x:c r="B31" s="42" t="str">
        <x:v>控制</x:v>
      </x:c>
      <x:c r="C31" s="42" t="str">
        <x:v>一级部件</x:v>
      </x:c>
      <x:c r="D31" s="42" t="str">
        <x:v>Pixhawk 2.4.8飞控</x:v>
      </x:c>
      <x:c r="E31" s="42" t="str">
        <x:v>无GPS / 已刷ArduSub</x:v>
      </x:c>
      <x:c r="F31" s="42" t="str">
        <x:v>块</x:v>
      </x:c>
      <x:c r="G31" s="55" t="n">
        <x:v>1</x:v>
      </x:c>
      <x:c r="H31" s="55" t="n">
        <x:v>1</x:v>
      </x:c>
      <x:c r="I31" s="55" t="n">
        <x:v>0</x:v>
      </x:c>
      <x:c r="J31" s="55" t="n">
        <x:v>1</x:v>
      </x:c>
      <x:c r="K31" s="54" t="n">
        <x:f>MAX(0,G31-J31)</x:f>
        <x:v>0</x:v>
      </x:c>
      <x:c r="L31" s="54" t="n">
        <x:f>MAX(0,H31-J31)</x:f>
        <x:v>0</x:v>
      </x:c>
      <x:c r="M31" s="54" t="n">
        <x:f>MAX(0,I31-MAX(0,J31-H31))</x:f>
        <x:v>0</x:v>
      </x:c>
      <x:c r="N31" s="62" t="n">
        <x:v>599</x:v>
      </x:c>
      <x:c r="O31" s="61" t="n">
        <x:f>IF(N31="","",K31*N31)</x:f>
        <x:v>0</x:v>
      </x:c>
      <x:c r="P31" s="61" t="n">
        <x:f>IF(N31="","",L31*N31)</x:f>
        <x:v>0</x:v>
      </x:c>
      <x:c r="Q31" s="61" t="n">
        <x:f>IF(N31="","",M31*N31)</x:f>
        <x:v>0</x:v>
      </x:c>
      <x:c r="R31" s="42" t="str">
        <x:v>已有</x:v>
      </x:c>
      <x:c r="S31" s="42" t="str">
        <x:v>ZC-20260713-013</x:v>
      </x:c>
      <x:c r="T31" s="67" t="n">
        <x:v>46216</x:v>
      </x:c>
      <x:c r="U31" s="42" t="str">
        <x:v>姿态、深度与推进器控制</x:v>
      </x:c>
    </x:row>
    <x:row r="32">
      <x:c r="A32" s="41" t="str">
        <x:v>CPI-CTRL-003</x:v>
      </x:c>
      <x:c r="B32" s="41" t="str">
        <x:v>控制</x:v>
      </x:c>
      <x:c r="C32" s="41" t="str">
        <x:v>二级部件</x:v>
      </x:c>
      <x:c r="D32" s="41" t="str">
        <x:v>USB转TTL通讯模块</x:v>
      </x:c>
      <x:c r="E32" s="41" t="str">
        <x:v>Y804 / 5V TTL</x:v>
      </x:c>
      <x:c r="F32" s="41" t="str">
        <x:v>个</x:v>
      </x:c>
      <x:c r="G32" s="53" t="n">
        <x:v>1</x:v>
      </x:c>
      <x:c r="H32" s="53" t="n">
        <x:v>1</x:v>
      </x:c>
      <x:c r="I32" s="53" t="n">
        <x:v>0</x:v>
      </x:c>
      <x:c r="J32" s="53" t="n">
        <x:v>1</x:v>
      </x:c>
      <x:c r="K32" s="54" t="n">
        <x:f>MAX(0,G32-J32)</x:f>
        <x:v>0</x:v>
      </x:c>
      <x:c r="L32" s="54" t="n">
        <x:f>MAX(0,H32-J32)</x:f>
        <x:v>0</x:v>
      </x:c>
      <x:c r="M32" s="54" t="n">
        <x:f>MAX(0,I32-MAX(0,J32-H32))</x:f>
        <x:v>0</x:v>
      </x:c>
      <x:c r="N32" s="60" t="n">
        <x:v>16.4</x:v>
      </x:c>
      <x:c r="O32" s="61" t="n">
        <x:f>IF(N32="","",K32*N32)</x:f>
        <x:v>0</x:v>
      </x:c>
      <x:c r="P32" s="61" t="n">
        <x:f>IF(N32="","",L32*N32)</x:f>
        <x:v>0</x:v>
      </x:c>
      <x:c r="Q32" s="61" t="n">
        <x:f>IF(N32="","",M32*N32)</x:f>
        <x:v>0</x:v>
      </x:c>
      <x:c r="R32" s="41" t="str">
        <x:v>已有</x:v>
      </x:c>
      <x:c r="S32" s="41" t="str">
        <x:v>ZC-20260729-003</x:v>
      </x:c>
      <x:c r="T32" s="66" t="n">
        <x:v>46232</x:v>
      </x:c>
      <x:c r="U32" s="41" t="str">
        <x:v>调试与串口通信</x:v>
      </x:c>
    </x:row>
    <x:row r="33">
      <x:c r="A33" s="42" t="str">
        <x:v>CPI-CTRL-004</x:v>
      </x:c>
      <x:c r="B33" s="42" t="str">
        <x:v>控制</x:v>
      </x:c>
      <x:c r="C33" s="42" t="str">
        <x:v>二级部件</x:v>
      </x:c>
      <x:c r="D33" s="42" t="str">
        <x:v>microSD存储卡</x:v>
      </x:c>
      <x:c r="E33" s="42" t="str">
        <x:v>64GB / A2级 / 高耐久</x:v>
      </x:c>
      <x:c r="F33" s="42" t="str">
        <x:v>张</x:v>
      </x:c>
      <x:c r="G33" s="55" t="n">
        <x:v>1</x:v>
      </x:c>
      <x:c r="H33" s="55" t="n">
        <x:v>1</x:v>
      </x:c>
      <x:c r="I33" s="55" t="n">
        <x:v>2</x:v>
      </x:c>
      <x:c r="J33" s="55" t="n">
        <x:v>0</x:v>
      </x:c>
      <x:c r="K33" s="54" t="n">
        <x:f>MAX(0,G33-J33)</x:f>
        <x:v>1</x:v>
      </x:c>
      <x:c r="L33" s="54" t="n">
        <x:f>MAX(0,H33-J33)</x:f>
        <x:v>1</x:v>
      </x:c>
      <x:c r="M33" s="54" t="n">
        <x:f>MAX(0,I33-MAX(0,J33-H33))</x:f>
        <x:v>2</x:v>
      </x:c>
      <x:c r="N33" s="62"/>
      <x:c r="O33" s="61" t="str">
        <x:f>IF(N33="","",K33*N33)</x:f>
      </x:c>
      <x:c r="P33" s="61" t="str">
        <x:f>IF(N33="","",L33*N33)</x:f>
      </x:c>
      <x:c r="Q33" s="61" t="str">
        <x:f>IF(N33="","",M33*N33)</x:f>
      </x:c>
      <x:c r="R33" s="42" t="str">
        <x:v>待选型</x:v>
      </x:c>
      <x:c r="S33" s="42"/>
      <x:c r="T33" s="67"/>
      <x:c r="U33" s="42" t="str">
        <x:v>升级阶段为Jetson与树莓派5各预留1张</x:v>
      </x:c>
    </x:row>
    <x:row r="34">
      <x:c r="A34" s="41" t="str">
        <x:v>CPI-CTRL-005</x:v>
      </x:c>
      <x:c r="B34" s="41" t="str">
        <x:v>控制</x:v>
      </x:c>
      <x:c r="C34" s="41" t="str">
        <x:v>二级部件</x:v>
      </x:c>
      <x:c r="D34" s="41" t="str">
        <x:v>树莓派散热组件</x:v>
      </x:c>
      <x:c r="E34" s="41" t="str">
        <x:v>适配树莓派4B / 被动散热优先</x:v>
      </x:c>
      <x:c r="F34" s="41" t="str">
        <x:v>套</x:v>
      </x:c>
      <x:c r="G34" s="53" t="n">
        <x:v>1</x:v>
      </x:c>
      <x:c r="H34" s="53" t="n">
        <x:v>1</x:v>
      </x:c>
      <x:c r="I34" s="53" t="n">
        <x:v>0</x:v>
      </x:c>
      <x:c r="J34" s="53" t="n">
        <x:v>0</x:v>
      </x:c>
      <x:c r="K34" s="54" t="n">
        <x:f>MAX(0,G34-J34)</x:f>
        <x:v>1</x:v>
      </x:c>
      <x:c r="L34" s="54" t="n">
        <x:f>MAX(0,H34-J34)</x:f>
        <x:v>1</x:v>
      </x:c>
      <x:c r="M34" s="54" t="n">
        <x:f>MAX(0,I34-MAX(0,J34-H34))</x:f>
        <x:v>0</x:v>
      </x:c>
      <x:c r="N34" s="60"/>
      <x:c r="O34" s="61" t="str">
        <x:f>IF(N34="","",K34*N34)</x:f>
      </x:c>
      <x:c r="P34" s="61" t="str">
        <x:f>IF(N34="","",L34*N34)</x:f>
      </x:c>
      <x:c r="Q34" s="61" t="str">
        <x:f>IF(N34="","",M34*N34)</x:f>
      </x:c>
      <x:c r="R34" s="41" t="str">
        <x:v>待选型</x:v>
      </x:c>
      <x:c r="S34" s="41"/>
      <x:c r="T34" s="66"/>
      <x:c r="U34" s="41" t="str">
        <x:v>密闭舱内需校核温升，不建议依赖舱内空气风扇</x:v>
      </x:c>
    </x:row>
    <x:row r="35">
      <x:c r="A35" s="42" t="str">
        <x:v>CPI-CTRL-006</x:v>
      </x:c>
      <x:c r="B35" s="42" t="str">
        <x:v>控制</x:v>
      </x:c>
      <x:c r="C35" s="42" t="str">
        <x:v>二级部件</x:v>
      </x:c>
      <x:c r="D35" s="42" t="str">
        <x:v>舱内漏水检测模块</x:v>
      </x:c>
      <x:c r="E35" s="42" t="str">
        <x:v>触点式或光电式 / Pixhawk兼容</x:v>
      </x:c>
      <x:c r="F35" s="42" t="str">
        <x:v>个</x:v>
      </x:c>
      <x:c r="G35" s="55" t="n">
        <x:v>1</x:v>
      </x:c>
      <x:c r="H35" s="55" t="n">
        <x:v>1</x:v>
      </x:c>
      <x:c r="I35" s="55" t="n">
        <x:v>0</x:v>
      </x:c>
      <x:c r="J35" s="55" t="n">
        <x:v>0</x:v>
      </x:c>
      <x:c r="K35" s="54" t="n">
        <x:f>MAX(0,G35-J35)</x:f>
        <x:v>1</x:v>
      </x:c>
      <x:c r="L35" s="54" t="n">
        <x:f>MAX(0,H35-J35)</x:f>
        <x:v>1</x:v>
      </x:c>
      <x:c r="M35" s="54" t="n">
        <x:f>MAX(0,I35-MAX(0,J35-H35))</x:f>
        <x:v>0</x:v>
      </x:c>
      <x:c r="N35" s="62"/>
      <x:c r="O35" s="61" t="str">
        <x:f>IF(N35="","",K35*N35)</x:f>
      </x:c>
      <x:c r="P35" s="61" t="str">
        <x:f>IF(N35="","",L35*N35)</x:f>
      </x:c>
      <x:c r="Q35" s="61" t="str">
        <x:f>IF(N35="","",M35*N35)</x:f>
      </x:c>
      <x:c r="R35" s="42" t="str">
        <x:v>待选型</x:v>
      </x:c>
      <x:c r="S35" s="42"/>
      <x:c r="T35" s="67"/>
      <x:c r="U35" s="42" t="str">
        <x:v>建议作为第一版安全必备件</x:v>
      </x:c>
    </x:row>
    <x:row r="36">
      <x:c r="A36" s="41" t="str">
        <x:v>CPI-SENS-001</x:v>
      </x:c>
      <x:c r="B36" s="41" t="str">
        <x:v>感知</x:v>
      </x:c>
      <x:c r="C36" s="41" t="str">
        <x:v>一级部件</x:v>
      </x:c>
      <x:c r="D36" s="41" t="str">
        <x:v>MS5837深度计</x:v>
      </x:c>
      <x:c r="E36" s="41" t="str">
        <x:v>MS5837-30Ba TB30</x:v>
      </x:c>
      <x:c r="F36" s="41" t="str">
        <x:v>个</x:v>
      </x:c>
      <x:c r="G36" s="53" t="n">
        <x:v>1</x:v>
      </x:c>
      <x:c r="H36" s="53" t="n">
        <x:v>1</x:v>
      </x:c>
      <x:c r="I36" s="53" t="n">
        <x:v>0</x:v>
      </x:c>
      <x:c r="J36" s="53" t="n">
        <x:v>1</x:v>
      </x:c>
      <x:c r="K36" s="54" t="n">
        <x:f>MAX(0,G36-J36)</x:f>
        <x:v>0</x:v>
      </x:c>
      <x:c r="L36" s="54" t="n">
        <x:f>MAX(0,H36-J36)</x:f>
        <x:v>0</x:v>
      </x:c>
      <x:c r="M36" s="54" t="n">
        <x:f>MAX(0,I36-MAX(0,J36-H36))</x:f>
        <x:v>0</x:v>
      </x:c>
      <x:c r="N36" s="60" t="n">
        <x:v>199</x:v>
      </x:c>
      <x:c r="O36" s="61" t="n">
        <x:f>IF(N36="","",K36*N36)</x:f>
        <x:v>0</x:v>
      </x:c>
      <x:c r="P36" s="61" t="n">
        <x:f>IF(N36="","",L36*N36)</x:f>
        <x:v>0</x:v>
      </x:c>
      <x:c r="Q36" s="61" t="n">
        <x:f>IF(N36="","",M36*N36)</x:f>
        <x:v>0</x:v>
      </x:c>
      <x:c r="R36" s="41" t="str">
        <x:v>已有</x:v>
      </x:c>
      <x:c r="S36" s="41" t="str">
        <x:v>ZC-20260713-010</x:v>
      </x:c>
      <x:c r="T36" s="66" t="n">
        <x:v>46216</x:v>
      </x:c>
      <x:c r="U36" s="41" t="str">
        <x:v>定深控制</x:v>
      </x:c>
    </x:row>
    <x:row r="37">
      <x:c r="A37" s="42" t="str">
        <x:v>CPI-SENS-002</x:v>
      </x:c>
      <x:c r="B37" s="42" t="str">
        <x:v>感知</x:v>
      </x:c>
      <x:c r="C37" s="42" t="str">
        <x:v>一级部件</x:v>
      </x:c>
      <x:c r="D37" s="42" t="str">
        <x:v>水下测距传感器</x:v>
      </x:c>
      <x:c r="E37" s="42" t="str">
        <x:v>3米量程 / 8-800cm</x:v>
      </x:c>
      <x:c r="F37" s="42" t="str">
        <x:v>个</x:v>
      </x:c>
      <x:c r="G37" s="55" t="n">
        <x:v>1</x:v>
      </x:c>
      <x:c r="H37" s="55" t="n">
        <x:v>1</x:v>
      </x:c>
      <x:c r="I37" s="55" t="n">
        <x:v>0</x:v>
      </x:c>
      <x:c r="J37" s="55" t="n">
        <x:v>1</x:v>
      </x:c>
      <x:c r="K37" s="54" t="n">
        <x:f>MAX(0,G37-J37)</x:f>
        <x:v>0</x:v>
      </x:c>
      <x:c r="L37" s="54" t="n">
        <x:f>MAX(0,H37-J37)</x:f>
        <x:v>0</x:v>
      </x:c>
      <x:c r="M37" s="54" t="n">
        <x:f>MAX(0,I37-MAX(0,J37-H37))</x:f>
        <x:v>0</x:v>
      </x:c>
      <x:c r="N37" s="62" t="n">
        <x:v>103</x:v>
      </x:c>
      <x:c r="O37" s="61" t="n">
        <x:f>IF(N37="","",K37*N37)</x:f>
        <x:v>0</x:v>
      </x:c>
      <x:c r="P37" s="61" t="n">
        <x:f>IF(N37="","",L37*N37)</x:f>
        <x:v>0</x:v>
      </x:c>
      <x:c r="Q37" s="61" t="n">
        <x:f>IF(N37="","",M37*N37)</x:f>
        <x:v>0</x:v>
      </x:c>
      <x:c r="R37" s="42" t="str">
        <x:v>已有</x:v>
      </x:c>
      <x:c r="S37" s="42" t="str">
        <x:v>ZC-20260713-008</x:v>
      </x:c>
      <x:c r="T37" s="67" t="n">
        <x:v>46216</x:v>
      </x:c>
      <x:c r="U37" s="42" t="str">
        <x:v>第一版基础测距；后续声呐升级不覆盖此件</x:v>
      </x:c>
    </x:row>
    <x:row r="38">
      <x:c r="A38" s="41" t="str">
        <x:v>CPI-LIGHT-001</x:v>
      </x:c>
      <x:c r="B38" s="41" t="str">
        <x:v>照明</x:v>
      </x:c>
      <x:c r="C38" s="41" t="str">
        <x:v>一级部件</x:v>
      </x:c>
      <x:c r="D38" s="41" t="str">
        <x:v>ROV探照灯</x:v>
      </x:c>
      <x:c r="E38" s="41" t="str">
        <x:v>ArduSub PWM / 2500lm / 8-30V / 100°</x:v>
      </x:c>
      <x:c r="F38" s="41" t="str">
        <x:v>盏</x:v>
      </x:c>
      <x:c r="G38" s="53" t="n">
        <x:v>1</x:v>
      </x:c>
      <x:c r="H38" s="53" t="n">
        <x:v>2</x:v>
      </x:c>
      <x:c r="I38" s="53" t="n">
        <x:v>0</x:v>
      </x:c>
      <x:c r="J38" s="53" t="n">
        <x:v>1</x:v>
      </x:c>
      <x:c r="K38" s="54" t="n">
        <x:f>MAX(0,G38-J38)</x:f>
        <x:v>0</x:v>
      </x:c>
      <x:c r="L38" s="54" t="n">
        <x:f>MAX(0,H38-J38)</x:f>
        <x:v>1</x:v>
      </x:c>
      <x:c r="M38" s="54" t="n">
        <x:f>MAX(0,I38-MAX(0,J38-H38))</x:f>
        <x:v>0</x:v>
      </x:c>
      <x:c r="N38" s="60" t="n">
        <x:v>306</x:v>
      </x:c>
      <x:c r="O38" s="61" t="n">
        <x:f>IF(N38="","",K38*N38)</x:f>
        <x:v>0</x:v>
      </x:c>
      <x:c r="P38" s="61" t="n">
        <x:f>IF(N38="","",L38*N38)</x:f>
        <x:v>306</x:v>
      </x:c>
      <x:c r="Q38" s="61" t="n">
        <x:f>IF(N38="","",M38*N38)</x:f>
        <x:v>0</x:v>
      </x:c>
      <x:c r="R38" s="41" t="str">
        <x:v>部分已有</x:v>
      </x:c>
      <x:c r="S38" s="41" t="str">
        <x:v>ZC-20260729-002</x:v>
      </x:c>
      <x:c r="T38" s="66" t="n">
        <x:v>46232</x:v>
      </x:c>
      <x:c r="U38" s="41" t="str">
        <x:v>第一版2盏，现有1盏</x:v>
      </x:c>
    </x:row>
    <x:row r="39">
      <x:c r="A39" s="42" t="str">
        <x:v>CPI-SEAL-002</x:v>
      </x:c>
      <x:c r="B39" s="42" t="str">
        <x:v>水密与线缆</x:v>
      </x:c>
      <x:c r="C39" s="42" t="str">
        <x:v>二级部件</x:v>
      </x:c>
      <x:c r="D39" s="42" t="str">
        <x:v>主穿舱水密接头/电缆穿透件</x:v>
      </x:c>
      <x:c r="E39" s="42" t="str">
        <x:v>适配30 m设计深度 / 口径和数量按线缆表确认</x:v>
      </x:c>
      <x:c r="F39" s="42" t="str">
        <x:v>个</x:v>
      </x:c>
      <x:c r="G39" s="55" t="n">
        <x:v>5</x:v>
      </x:c>
      <x:c r="H39" s="55" t="n">
        <x:v>8</x:v>
      </x:c>
      <x:c r="I39" s="55" t="n">
        <x:v>4</x:v>
      </x:c>
      <x:c r="J39" s="55" t="n">
        <x:v>0</x:v>
      </x:c>
      <x:c r="K39" s="54" t="n">
        <x:f>MAX(0,G39-J39)</x:f>
        <x:v>5</x:v>
      </x:c>
      <x:c r="L39" s="54" t="n">
        <x:f>MAX(0,H39-J39)</x:f>
        <x:v>8</x:v>
      </x:c>
      <x:c r="M39" s="54" t="n">
        <x:f>MAX(0,I39-MAX(0,J39-H39))</x:f>
        <x:v>4</x:v>
      </x:c>
      <x:c r="N39" s="62"/>
      <x:c r="O39" s="61" t="str">
        <x:f>IF(N39="","",K39*N39)</x:f>
      </x:c>
      <x:c r="P39" s="61" t="str">
        <x:f>IF(N39="","",L39*N39)</x:f>
      </x:c>
      <x:c r="Q39" s="61" t="str">
        <x:f>IF(N39="","",M39*N39)</x:f>
      </x:c>
      <x:c r="R39" s="42" t="str">
        <x:v>待选型</x:v>
      </x:c>
      <x:c r="S39" s="42"/>
      <x:c r="T39" s="67"/>
      <x:c r="U39" s="42" t="str">
        <x:v>当前为建议数量；需按4推进器、2灯、传感器和电源开关逐项复核</x:v>
      </x:c>
    </x:row>
    <x:row r="40">
      <x:c r="A40" s="41" t="str">
        <x:v>CPI-SEAL-003</x:v>
      </x:c>
      <x:c r="B40" s="41" t="str">
        <x:v>水密与线缆</x:v>
      </x:c>
      <x:c r="C40" s="41" t="str">
        <x:v>二级部件</x:v>
      </x:c>
      <x:c r="D40" s="41" t="str">
        <x:v>泄压/抽真空测试阀</x:v>
      </x:c>
      <x:c r="E40" s="41" t="str">
        <x:v>耐压舱检漏接口</x:v>
      </x:c>
      <x:c r="F40" s="41" t="str">
        <x:v>个</x:v>
      </x:c>
      <x:c r="G40" s="53" t="n">
        <x:v>1</x:v>
      </x:c>
      <x:c r="H40" s="53" t="n">
        <x:v>1</x:v>
      </x:c>
      <x:c r="I40" s="53" t="n">
        <x:v>0</x:v>
      </x:c>
      <x:c r="J40" s="53" t="n">
        <x:v>0</x:v>
      </x:c>
      <x:c r="K40" s="54" t="n">
        <x:f>MAX(0,G40-J40)</x:f>
        <x:v>1</x:v>
      </x:c>
      <x:c r="L40" s="54" t="n">
        <x:f>MAX(0,H40-J40)</x:f>
        <x:v>1</x:v>
      </x:c>
      <x:c r="M40" s="54" t="n">
        <x:f>MAX(0,I40-MAX(0,J40-H40))</x:f>
        <x:v>0</x:v>
      </x:c>
      <x:c r="N40" s="60"/>
      <x:c r="O40" s="61" t="str">
        <x:f>IF(N40="","",K40*N40)</x:f>
      </x:c>
      <x:c r="P40" s="61" t="str">
        <x:f>IF(N40="","",L40*N40)</x:f>
      </x:c>
      <x:c r="Q40" s="61" t="str">
        <x:f>IF(N40="","",M40*N40)</x:f>
      </x:c>
      <x:c r="R40" s="41" t="str">
        <x:v>待选型</x:v>
      </x:c>
      <x:c r="S40" s="41"/>
      <x:c r="T40" s="66"/>
      <x:c r="U40" s="41" t="str">
        <x:v>用于负压检漏和压力测试流程</x:v>
      </x:c>
    </x:row>
    <x:row r="41">
      <x:c r="A41" s="42" t="str">
        <x:v>CPI-SEAL-004</x:v>
      </x:c>
      <x:c r="B41" s="42" t="str">
        <x:v>水密与线缆</x:v>
      </x:c>
      <x:c r="C41" s="42" t="str">
        <x:v>三级部件</x:v>
      </x:c>
      <x:c r="D41" s="42" t="str">
        <x:v>O形圈硅脂</x:v>
      </x:c>
      <x:c r="E41" s="42" t="str">
        <x:v>水下密封兼容 / 不腐蚀密封材料</x:v>
      </x:c>
      <x:c r="F41" s="42" t="str">
        <x:v>份</x:v>
      </x:c>
      <x:c r="G41" s="55" t="n">
        <x:v>1</x:v>
      </x:c>
      <x:c r="H41" s="55" t="n">
        <x:v>1</x:v>
      </x:c>
      <x:c r="I41" s="55" t="n">
        <x:v>0</x:v>
      </x:c>
      <x:c r="J41" s="55" t="n">
        <x:v>0</x:v>
      </x:c>
      <x:c r="K41" s="54" t="n">
        <x:f>MAX(0,G41-J41)</x:f>
        <x:v>1</x:v>
      </x:c>
      <x:c r="L41" s="54" t="n">
        <x:f>MAX(0,H41-J41)</x:f>
        <x:v>1</x:v>
      </x:c>
      <x:c r="M41" s="54" t="n">
        <x:f>MAX(0,I41-MAX(0,J41-H41))</x:f>
        <x:v>0</x:v>
      </x:c>
      <x:c r="N41" s="62"/>
      <x:c r="O41" s="61" t="str">
        <x:f>IF(N41="","",K41*N41)</x:f>
      </x:c>
      <x:c r="P41" s="61" t="str">
        <x:f>IF(N41="","",L41*N41)</x:f>
      </x:c>
      <x:c r="Q41" s="61" t="str">
        <x:f>IF(N41="","",M41*N41)</x:f>
      </x:c>
      <x:c r="R41" s="42" t="str">
        <x:v>待选型</x:v>
      </x:c>
      <x:c r="S41" s="42"/>
      <x:c r="T41" s="67"/>
      <x:c r="U41" s="42" t="str">
        <x:v>用于密封圈装配维护</x:v>
      </x:c>
    </x:row>
    <x:row r="42">
      <x:c r="A42" s="41" t="str">
        <x:v>CPI-SEAL-005</x:v>
      </x:c>
      <x:c r="B42" s="41" t="str">
        <x:v>水密与线缆</x:v>
      </x:c>
      <x:c r="C42" s="41" t="str">
        <x:v>三级部件</x:v>
      </x:c>
      <x:c r="D42" s="41" t="str">
        <x:v>灌封胶/海工环氧</x:v>
      </x:c>
      <x:c r="E42" s="41" t="str">
        <x:v>电缆穿舱灌封 / 与线皮和舱体材料兼容</x:v>
      </x:c>
      <x:c r="F42" s="41" t="str">
        <x:v>份</x:v>
      </x:c>
      <x:c r="G42" s="53" t="n">
        <x:v>1</x:v>
      </x:c>
      <x:c r="H42" s="53" t="n">
        <x:v>1</x:v>
      </x:c>
      <x:c r="I42" s="53" t="n">
        <x:v>1</x:v>
      </x:c>
      <x:c r="J42" s="53" t="n">
        <x:v>0</x:v>
      </x:c>
      <x:c r="K42" s="54" t="n">
        <x:f>MAX(0,G42-J42)</x:f>
        <x:v>1</x:v>
      </x:c>
      <x:c r="L42" s="54" t="n">
        <x:f>MAX(0,H42-J42)</x:f>
        <x:v>1</x:v>
      </x:c>
      <x:c r="M42" s="54" t="n">
        <x:f>MAX(0,I42-MAX(0,J42-H42))</x:f>
        <x:v>1</x:v>
      </x:c>
      <x:c r="N42" s="60"/>
      <x:c r="O42" s="61" t="str">
        <x:f>IF(N42="","",K42*N42)</x:f>
      </x:c>
      <x:c r="P42" s="61" t="str">
        <x:f>IF(N42="","",L42*N42)</x:f>
      </x:c>
      <x:c r="Q42" s="61" t="str">
        <x:f>IF(N42="","",M42*N42)</x:f>
      </x:c>
      <x:c r="R42" s="41" t="str">
        <x:v>待选型</x:v>
      </x:c>
      <x:c r="S42" s="41"/>
      <x:c r="T42" s="66"/>
      <x:c r="U42" s="41" t="str">
        <x:v>需先做材料相容性和固化工艺试验</x:v>
      </x:c>
    </x:row>
    <x:row r="43">
      <x:c r="A43" s="42" t="str">
        <x:v>CPI-SEAL-006</x:v>
      </x:c>
      <x:c r="B43" s="42" t="str">
        <x:v>水密与线缆</x:v>
      </x:c>
      <x:c r="C43" s="42" t="str">
        <x:v>三级部件</x:v>
      </x:c>
      <x:c r="D43" s="42" t="str">
        <x:v>热缩管套装</x:v>
      </x:c>
      <x:c r="E43" s="42" t="str">
        <x:v>含胶双壁 / 多规格</x:v>
      </x:c>
      <x:c r="F43" s="42" t="str">
        <x:v>套</x:v>
      </x:c>
      <x:c r="G43" s="55" t="n">
        <x:v>1</x:v>
      </x:c>
      <x:c r="H43" s="55" t="n">
        <x:v>1</x:v>
      </x:c>
      <x:c r="I43" s="55" t="n">
        <x:v>0</x:v>
      </x:c>
      <x:c r="J43" s="55" t="n">
        <x:v>0</x:v>
      </x:c>
      <x:c r="K43" s="54" t="n">
        <x:f>MAX(0,G43-J43)</x:f>
        <x:v>1</x:v>
      </x:c>
      <x:c r="L43" s="54" t="n">
        <x:f>MAX(0,H43-J43)</x:f>
        <x:v>1</x:v>
      </x:c>
      <x:c r="M43" s="54" t="n">
        <x:f>MAX(0,I43-MAX(0,J43-H43))</x:f>
        <x:v>0</x:v>
      </x:c>
      <x:c r="N43" s="62"/>
      <x:c r="O43" s="61" t="str">
        <x:f>IF(N43="","",K43*N43)</x:f>
      </x:c>
      <x:c r="P43" s="61" t="str">
        <x:f>IF(N43="","",L43*N43)</x:f>
      </x:c>
      <x:c r="Q43" s="61" t="str">
        <x:f>IF(N43="","",M43*N43)</x:f>
      </x:c>
      <x:c r="R43" s="42" t="str">
        <x:v>待选型</x:v>
      </x:c>
      <x:c r="S43" s="42"/>
      <x:c r="T43" s="67"/>
      <x:c r="U43" s="42" t="str">
        <x:v>舱内线束绝缘与应力保护</x:v>
      </x:c>
    </x:row>
    <x:row r="44">
      <x:c r="A44" s="41" t="str">
        <x:v>CPI-NET-001</x:v>
      </x:c>
      <x:c r="B44" s="41" t="str">
        <x:v>水密与线缆</x:v>
      </x:c>
      <x:c r="C44" s="41" t="str">
        <x:v>调试附件</x:v>
      </x:c>
      <x:c r="D44" s="41" t="str">
        <x:v>调试网线</x:v>
      </x:c>
      <x:c r="E44" s="41" t="str">
        <x:v>CAT6 / 建议35 m含余量</x:v>
      </x:c>
      <x:c r="F44" s="41" t="str">
        <x:v>米</x:v>
      </x:c>
      <x:c r="G44" s="53" t="n">
        <x:v>35</x:v>
      </x:c>
      <x:c r="H44" s="53" t="n">
        <x:v>0</x:v>
      </x:c>
      <x:c r="I44" s="53" t="n">
        <x:v>0</x:v>
      </x:c>
      <x:c r="J44" s="53" t="n">
        <x:v>0</x:v>
      </x:c>
      <x:c r="K44" s="54" t="n">
        <x:f>MAX(0,G44-J44)</x:f>
        <x:v>35</x:v>
      </x:c>
      <x:c r="L44" s="54" t="n">
        <x:f>MAX(0,H44-J44)</x:f>
        <x:v>0</x:v>
      </x:c>
      <x:c r="M44" s="54" t="n">
        <x:f>MAX(0,I44-MAX(0,J44-H44))</x:f>
        <x:v>0</x:v>
      </x:c>
      <x:c r="N44" s="60"/>
      <x:c r="O44" s="61" t="str">
        <x:f>IF(N44="","",K44*N44)</x:f>
      </x:c>
      <x:c r="P44" s="61" t="str">
        <x:f>IF(N44="","",L44*N44)</x:f>
      </x:c>
      <x:c r="Q44" s="61" t="str">
        <x:f>IF(N44="","",M44*N44)</x:f>
      </x:c>
      <x:c r="R44" s="41" t="str">
        <x:v>待选型</x:v>
      </x:c>
      <x:c r="S44" s="41"/>
      <x:c r="T44" s="66"/>
      <x:c r="U44" s="41" t="str">
        <x:v>仅调试版保留，第一版不配置网线脐带</x:v>
      </x:c>
    </x:row>
    <x:row r="45">
      <x:c r="A45" s="42" t="str">
        <x:v>CPI-NET-002</x:v>
      </x:c>
      <x:c r="B45" s="42" t="str">
        <x:v>水密与线缆</x:v>
      </x:c>
      <x:c r="C45" s="42" t="str">
        <x:v>调试附件</x:v>
      </x:c>
      <x:c r="D45" s="42" t="str">
        <x:v>网线水密穿舱组件</x:v>
      </x:c>
      <x:c r="E45" s="42" t="str">
        <x:v>CAT6兼容 / 30 m级水密</x:v>
      </x:c>
      <x:c r="F45" s="42" t="str">
        <x:v>套</x:v>
      </x:c>
      <x:c r="G45" s="55" t="n">
        <x:v>1</x:v>
      </x:c>
      <x:c r="H45" s="55" t="n">
        <x:v>0</x:v>
      </x:c>
      <x:c r="I45" s="55" t="n">
        <x:v>0</x:v>
      </x:c>
      <x:c r="J45" s="55" t="n">
        <x:v>0</x:v>
      </x:c>
      <x:c r="K45" s="54" t="n">
        <x:f>MAX(0,G45-J45)</x:f>
        <x:v>1</x:v>
      </x:c>
      <x:c r="L45" s="54" t="n">
        <x:f>MAX(0,H45-J45)</x:f>
        <x:v>0</x:v>
      </x:c>
      <x:c r="M45" s="54" t="n">
        <x:f>MAX(0,I45-MAX(0,J45-H45))</x:f>
        <x:v>0</x:v>
      </x:c>
      <x:c r="N45" s="62"/>
      <x:c r="O45" s="61" t="str">
        <x:f>IF(N45="","",K45*N45)</x:f>
      </x:c>
      <x:c r="P45" s="61" t="str">
        <x:f>IF(N45="","",L45*N45)</x:f>
      </x:c>
      <x:c r="Q45" s="61" t="str">
        <x:f>IF(N45="","",M45*N45)</x:f>
      </x:c>
      <x:c r="R45" s="42" t="str">
        <x:v>待选型</x:v>
      </x:c>
      <x:c r="S45" s="42"/>
      <x:c r="T45" s="67"/>
      <x:c r="U45" s="42" t="str">
        <x:v>仅调试版</x:v>
      </x:c>
    </x:row>
    <x:row r="46">
      <x:c r="A46" s="41" t="str">
        <x:v>CPI-NET-003</x:v>
      </x:c>
      <x:c r="B46" s="41" t="str">
        <x:v>水密与线缆</x:v>
      </x:c>
      <x:c r="C46" s="41" t="str">
        <x:v>调试附件</x:v>
      </x:c>
      <x:c r="D46" s="41" t="str">
        <x:v>网线应力释放与水面连接组件</x:v>
      </x:c>
      <x:c r="E46" s="41" t="str">
        <x:v>适配35 m调试网线</x:v>
      </x:c>
      <x:c r="F46" s="41" t="str">
        <x:v>套</x:v>
      </x:c>
      <x:c r="G46" s="53" t="n">
        <x:v>1</x:v>
      </x:c>
      <x:c r="H46" s="53" t="n">
        <x:v>0</x:v>
      </x:c>
      <x:c r="I46" s="53" t="n">
        <x:v>0</x:v>
      </x:c>
      <x:c r="J46" s="53" t="n">
        <x:v>0</x:v>
      </x:c>
      <x:c r="K46" s="54" t="n">
        <x:f>MAX(0,G46-J46)</x:f>
        <x:v>1</x:v>
      </x:c>
      <x:c r="L46" s="54" t="n">
        <x:f>MAX(0,H46-J46)</x:f>
        <x:v>0</x:v>
      </x:c>
      <x:c r="M46" s="54" t="n">
        <x:f>MAX(0,I46-MAX(0,J46-H46))</x:f>
        <x:v>0</x:v>
      </x:c>
      <x:c r="N46" s="60"/>
      <x:c r="O46" s="61" t="str">
        <x:f>IF(N46="","",K46*N46)</x:f>
      </x:c>
      <x:c r="P46" s="61" t="str">
        <x:f>IF(N46="","",L46*N46)</x:f>
      </x:c>
      <x:c r="Q46" s="61" t="str">
        <x:f>IF(N46="","",M46*N46)</x:f>
      </x:c>
      <x:c r="R46" s="41" t="str">
        <x:v>待选型</x:v>
      </x:c>
      <x:c r="S46" s="41"/>
      <x:c r="T46" s="66"/>
      <x:c r="U46" s="41" t="str">
        <x:v>仅调试版，避免拉力直接作用于穿舱件</x:v>
      </x:c>
    </x:row>
    <x:row r="47">
      <x:c r="A47" s="42" t="str">
        <x:v>CPI-CONS-001</x:v>
      </x:c>
      <x:c r="B47" s="42" t="str">
        <x:v>装配耗材</x:v>
      </x:c>
      <x:c r="C47" s="42" t="str">
        <x:v>三级部件</x:v>
      </x:c>
      <x:c r="D47" s="42" t="str">
        <x:v>M3×6不锈钢螺钉</x:v>
      </x:c>
      <x:c r="E47" s="42" t="str">
        <x:v>304十字圆头</x:v>
      </x:c>
      <x:c r="F47" s="42" t="str">
        <x:v>个</x:v>
      </x:c>
      <x:c r="G47" s="55" t="n">
        <x:v>8</x:v>
      </x:c>
      <x:c r="H47" s="55" t="n">
        <x:v>12</x:v>
      </x:c>
      <x:c r="I47" s="55" t="n">
        <x:v>4</x:v>
      </x:c>
      <x:c r="J47" s="55" t="n">
        <x:v>100</x:v>
      </x:c>
      <x:c r="K47" s="54" t="n">
        <x:f>MAX(0,G47-J47)</x:f>
        <x:v>0</x:v>
      </x:c>
      <x:c r="L47" s="54" t="n">
        <x:f>MAX(0,H47-J47)</x:f>
        <x:v>0</x:v>
      </x:c>
      <x:c r="M47" s="54" t="n">
        <x:f>MAX(0,I47-MAX(0,J47-H47))</x:f>
        <x:v>0</x:v>
      </x:c>
      <x:c r="N47" s="62" t="n">
        <x:v>0.023399999999999997</x:v>
      </x:c>
      <x:c r="O47" s="61" t="n">
        <x:f>IF(N47="","",K47*N47)</x:f>
        <x:v>0</x:v>
      </x:c>
      <x:c r="P47" s="61" t="n">
        <x:f>IF(N47="","",L47*N47)</x:f>
        <x:v>0</x:v>
      </x:c>
      <x:c r="Q47" s="61" t="n">
        <x:f>IF(N47="","",M47*N47)</x:f>
        <x:v>0</x:v>
      </x:c>
      <x:c r="R47" s="42" t="str">
        <x:v>已有</x:v>
      </x:c>
      <x:c r="S47" s="42" t="str">
        <x:v>ZC-20260722-019</x:v>
      </x:c>
      <x:c r="T47" s="67" t="n">
        <x:v>46225</x:v>
      </x:c>
      <x:c r="U47" s="42" t="str">
        <x:v>装机建议量；最终随结构图复核</x:v>
      </x:c>
    </x:row>
    <x:row r="48">
      <x:c r="A48" s="41" t="str">
        <x:v>CPI-CONS-002</x:v>
      </x:c>
      <x:c r="B48" s="41" t="str">
        <x:v>装配耗材</x:v>
      </x:c>
      <x:c r="C48" s="41" t="str">
        <x:v>三级部件</x:v>
      </x:c>
      <x:c r="D48" s="41" t="str">
        <x:v>M3×10不锈钢螺钉</x:v>
      </x:c>
      <x:c r="E48" s="41" t="str">
        <x:v>304十字圆头</x:v>
      </x:c>
      <x:c r="F48" s="41" t="str">
        <x:v>个</x:v>
      </x:c>
      <x:c r="G48" s="53" t="n">
        <x:v>8</x:v>
      </x:c>
      <x:c r="H48" s="53" t="n">
        <x:v>12</x:v>
      </x:c>
      <x:c r="I48" s="53" t="n">
        <x:v>4</x:v>
      </x:c>
      <x:c r="J48" s="53" t="n">
        <x:v>100</x:v>
      </x:c>
      <x:c r="K48" s="54" t="n">
        <x:f>MAX(0,G48-J48)</x:f>
        <x:v>0</x:v>
      </x:c>
      <x:c r="L48" s="54" t="n">
        <x:f>MAX(0,H48-J48)</x:f>
        <x:v>0</x:v>
      </x:c>
      <x:c r="M48" s="54" t="n">
        <x:f>MAX(0,I48-MAX(0,J48-H48))</x:f>
        <x:v>0</x:v>
      </x:c>
      <x:c r="N48" s="60" t="n">
        <x:v>0.0296</x:v>
      </x:c>
      <x:c r="O48" s="61" t="n">
        <x:f>IF(N48="","",K48*N48)</x:f>
        <x:v>0</x:v>
      </x:c>
      <x:c r="P48" s="61" t="n">
        <x:f>IF(N48="","",L48*N48)</x:f>
        <x:v>0</x:v>
      </x:c>
      <x:c r="Q48" s="61" t="n">
        <x:f>IF(N48="","",M48*N48)</x:f>
        <x:v>0</x:v>
      </x:c>
      <x:c r="R48" s="41" t="str">
        <x:v>已有</x:v>
      </x:c>
      <x:c r="S48" s="41" t="str">
        <x:v>ZC-20260722-018</x:v>
      </x:c>
      <x:c r="T48" s="66" t="n">
        <x:v>46225</x:v>
      </x:c>
      <x:c r="U48" s="41" t="str">
        <x:v>装机建议量；最终随结构图复核</x:v>
      </x:c>
    </x:row>
    <x:row r="49">
      <x:c r="A49" s="42" t="str">
        <x:v>CPI-CONS-003</x:v>
      </x:c>
      <x:c r="B49" s="42" t="str">
        <x:v>装配耗材</x:v>
      </x:c>
      <x:c r="C49" s="42" t="str">
        <x:v>三级部件</x:v>
      </x:c>
      <x:c r="D49" s="42" t="str">
        <x:v>M3×12不锈钢螺钉</x:v>
      </x:c>
      <x:c r="E49" s="42" t="str">
        <x:v>304内六角</x:v>
      </x:c>
      <x:c r="F49" s="42" t="str">
        <x:v>个</x:v>
      </x:c>
      <x:c r="G49" s="55" t="n">
        <x:v>8</x:v>
      </x:c>
      <x:c r="H49" s="55" t="n">
        <x:v>16</x:v>
      </x:c>
      <x:c r="I49" s="55" t="n">
        <x:v>4</x:v>
      </x:c>
      <x:c r="J49" s="55" t="n">
        <x:v>100</x:v>
      </x:c>
      <x:c r="K49" s="54" t="n">
        <x:f>MAX(0,G49-J49)</x:f>
        <x:v>0</x:v>
      </x:c>
      <x:c r="L49" s="54" t="n">
        <x:f>MAX(0,H49-J49)</x:f>
        <x:v>0</x:v>
      </x:c>
      <x:c r="M49" s="54" t="n">
        <x:f>MAX(0,I49-MAX(0,J49-H49))</x:f>
        <x:v>0</x:v>
      </x:c>
      <x:c r="N49" s="62" t="n">
        <x:v>0.026000000000000002</x:v>
      </x:c>
      <x:c r="O49" s="61" t="n">
        <x:f>IF(N49="","",K49*N49)</x:f>
        <x:v>0</x:v>
      </x:c>
      <x:c r="P49" s="61" t="n">
        <x:f>IF(N49="","",L49*N49)</x:f>
        <x:v>0</x:v>
      </x:c>
      <x:c r="Q49" s="61" t="n">
        <x:f>IF(N49="","",M49*N49)</x:f>
        <x:v>0</x:v>
      </x:c>
      <x:c r="R49" s="42" t="str">
        <x:v>已有</x:v>
      </x:c>
      <x:c r="S49" s="42" t="str">
        <x:v>ZC-20260722-014</x:v>
      </x:c>
      <x:c r="T49" s="67" t="n">
        <x:v>46225</x:v>
      </x:c>
      <x:c r="U49" s="42" t="str">
        <x:v>装机建议量；最终随结构图复核</x:v>
      </x:c>
    </x:row>
    <x:row r="50">
      <x:c r="A50" s="41" t="str">
        <x:v>CPI-CONS-004</x:v>
      </x:c>
      <x:c r="B50" s="41" t="str">
        <x:v>装配耗材</x:v>
      </x:c>
      <x:c r="C50" s="41" t="str">
        <x:v>三级部件</x:v>
      </x:c>
      <x:c r="D50" s="41" t="str">
        <x:v>M3×20不锈钢螺钉</x:v>
      </x:c>
      <x:c r="E50" s="41" t="str">
        <x:v>304十字圆头机牙</x:v>
      </x:c>
      <x:c r="F50" s="41" t="str">
        <x:v>个</x:v>
      </x:c>
      <x:c r="G50" s="53" t="n">
        <x:v>4</x:v>
      </x:c>
      <x:c r="H50" s="53" t="n">
        <x:v>8</x:v>
      </x:c>
      <x:c r="I50" s="53" t="n">
        <x:v>4</x:v>
      </x:c>
      <x:c r="J50" s="53" t="n">
        <x:v>100</x:v>
      </x:c>
      <x:c r="K50" s="54" t="n">
        <x:f>MAX(0,G50-J50)</x:f>
        <x:v>0</x:v>
      </x:c>
      <x:c r="L50" s="54" t="n">
        <x:f>MAX(0,H50-J50)</x:f>
        <x:v>0</x:v>
      </x:c>
      <x:c r="M50" s="54" t="n">
        <x:f>MAX(0,I50-MAX(0,J50-H50))</x:f>
        <x:v>0</x:v>
      </x:c>
      <x:c r="N50" s="60" t="n">
        <x:v>0.0487</x:v>
      </x:c>
      <x:c r="O50" s="61" t="n">
        <x:f>IF(N50="","",K50*N50)</x:f>
        <x:v>0</x:v>
      </x:c>
      <x:c r="P50" s="61" t="n">
        <x:f>IF(N50="","",L50*N50)</x:f>
        <x:v>0</x:v>
      </x:c>
      <x:c r="Q50" s="61" t="n">
        <x:f>IF(N50="","",M50*N50)</x:f>
        <x:v>0</x:v>
      </x:c>
      <x:c r="R50" s="41" t="str">
        <x:v>已有</x:v>
      </x:c>
      <x:c r="S50" s="41" t="str">
        <x:v>ZC-20260803-002</x:v>
      </x:c>
      <x:c r="T50" s="66" t="n">
        <x:v>46237</x:v>
      </x:c>
      <x:c r="U50" s="41" t="str">
        <x:v>装机建议量；最终随结构图复核</x:v>
      </x:c>
    </x:row>
    <x:row r="51">
      <x:c r="A51" s="42" t="str">
        <x:v>CPI-CONS-005</x:v>
      </x:c>
      <x:c r="B51" s="42" t="str">
        <x:v>装配耗材</x:v>
      </x:c>
      <x:c r="C51" s="42" t="str">
        <x:v>三级部件</x:v>
      </x:c>
      <x:c r="D51" s="42" t="str">
        <x:v>M3防松锁紧螺母</x:v>
      </x:c>
      <x:c r="E51" s="42" t="str">
        <x:v>304材质</x:v>
      </x:c>
      <x:c r="F51" s="42" t="str">
        <x:v>个</x:v>
      </x:c>
      <x:c r="G51" s="55" t="n">
        <x:v>12</x:v>
      </x:c>
      <x:c r="H51" s="55" t="n">
        <x:v>24</x:v>
      </x:c>
      <x:c r="I51" s="55" t="n">
        <x:v>8</x:v>
      </x:c>
      <x:c r="J51" s="55" t="n">
        <x:v>40</x:v>
      </x:c>
      <x:c r="K51" s="54" t="n">
        <x:f>MAX(0,G51-J51)</x:f>
        <x:v>0</x:v>
      </x:c>
      <x:c r="L51" s="54" t="n">
        <x:f>MAX(0,H51-J51)</x:f>
        <x:v>0</x:v>
      </x:c>
      <x:c r="M51" s="54" t="n">
        <x:f>MAX(0,I51-MAX(0,J51-H51))</x:f>
        <x:v>0</x:v>
      </x:c>
      <x:c r="N51" s="62" t="n">
        <x:v>0.0485</x:v>
      </x:c>
      <x:c r="O51" s="61" t="n">
        <x:f>IF(N51="","",K51*N51)</x:f>
        <x:v>0</x:v>
      </x:c>
      <x:c r="P51" s="61" t="n">
        <x:f>IF(N51="","",L51*N51)</x:f>
        <x:v>0</x:v>
      </x:c>
      <x:c r="Q51" s="61" t="n">
        <x:f>IF(N51="","",M51*N51)</x:f>
        <x:v>0</x:v>
      </x:c>
      <x:c r="R51" s="42" t="str">
        <x:v>已有</x:v>
      </x:c>
      <x:c r="S51" s="42" t="str">
        <x:v>ZC-20260803-003</x:v>
      </x:c>
      <x:c r="T51" s="67" t="n">
        <x:v>46237</x:v>
      </x:c>
      <x:c r="U51" s="42" t="str">
        <x:v>推进器及框架连接优先使用</x:v>
      </x:c>
    </x:row>
    <x:row r="52">
      <x:c r="A52" s="41" t="str">
        <x:v>CPI-CONS-006</x:v>
      </x:c>
      <x:c r="B52" s="41" t="str">
        <x:v>装配耗材</x:v>
      </x:c>
      <x:c r="C52" s="41" t="str">
        <x:v>三级部件</x:v>
      </x:c>
      <x:c r="D52" s="41" t="str">
        <x:v>M3六角螺母</x:v>
      </x:c>
      <x:c r="E52" s="41" t="str">
        <x:v>304材质</x:v>
      </x:c>
      <x:c r="F52" s="41" t="str">
        <x:v>个</x:v>
      </x:c>
      <x:c r="G52" s="53" t="n">
        <x:v>12</x:v>
      </x:c>
      <x:c r="H52" s="53" t="n">
        <x:v>24</x:v>
      </x:c>
      <x:c r="I52" s="53" t="n">
        <x:v>8</x:v>
      </x:c>
      <x:c r="J52" s="53" t="n">
        <x:v>100</x:v>
      </x:c>
      <x:c r="K52" s="54" t="n">
        <x:f>MAX(0,G52-J52)</x:f>
        <x:v>0</x:v>
      </x:c>
      <x:c r="L52" s="54" t="n">
        <x:f>MAX(0,H52-J52)</x:f>
        <x:v>0</x:v>
      </x:c>
      <x:c r="M52" s="54" t="n">
        <x:f>MAX(0,I52-MAX(0,J52-H52))</x:f>
        <x:v>0</x:v>
      </x:c>
      <x:c r="N52" s="60" t="n">
        <x:v>0.0209</x:v>
      </x:c>
      <x:c r="O52" s="61" t="n">
        <x:f>IF(N52="","",K52*N52)</x:f>
        <x:v>0</x:v>
      </x:c>
      <x:c r="P52" s="61" t="n">
        <x:f>IF(N52="","",L52*N52)</x:f>
        <x:v>0</x:v>
      </x:c>
      <x:c r="Q52" s="61" t="n">
        <x:f>IF(N52="","",M52*N52)</x:f>
        <x:v>0</x:v>
      </x:c>
      <x:c r="R52" s="41" t="str">
        <x:v>已有</x:v>
      </x:c>
      <x:c r="S52" s="41" t="str">
        <x:v>ZC-20260722-013</x:v>
      </x:c>
      <x:c r="T52" s="66" t="n">
        <x:v>46225</x:v>
      </x:c>
      <x:c r="U52" s="41" t="str">
        <x:v>装机建议量</x:v>
      </x:c>
    </x:row>
    <x:row r="53">
      <x:c r="A53" s="42" t="str">
        <x:v>CPI-CONS-007</x:v>
      </x:c>
      <x:c r="B53" s="42" t="str">
        <x:v>装配耗材</x:v>
      </x:c>
      <x:c r="C53" s="42" t="str">
        <x:v>三级部件</x:v>
      </x:c>
      <x:c r="D53" s="42" t="str">
        <x:v>M3平垫圈</x:v>
      </x:c>
      <x:c r="E53" s="42" t="str">
        <x:v>304 / M3×6×0.5</x:v>
      </x:c>
      <x:c r="F53" s="42" t="str">
        <x:v>个</x:v>
      </x:c>
      <x:c r="G53" s="55" t="n">
        <x:v>16</x:v>
      </x:c>
      <x:c r="H53" s="55" t="n">
        <x:v>32</x:v>
      </x:c>
      <x:c r="I53" s="55" t="n">
        <x:v>8</x:v>
      </x:c>
      <x:c r="J53" s="55" t="n">
        <x:v>200</x:v>
      </x:c>
      <x:c r="K53" s="54" t="n">
        <x:f>MAX(0,G53-J53)</x:f>
        <x:v>0</x:v>
      </x:c>
      <x:c r="L53" s="54" t="n">
        <x:f>MAX(0,H53-J53)</x:f>
        <x:v>0</x:v>
      </x:c>
      <x:c r="M53" s="54" t="n">
        <x:f>MAX(0,I53-MAX(0,J53-H53))</x:f>
        <x:v>0</x:v>
      </x:c>
      <x:c r="N53" s="62" t="n">
        <x:v>0.01595</x:v>
      </x:c>
      <x:c r="O53" s="61" t="n">
        <x:f>IF(N53="","",K53*N53)</x:f>
        <x:v>0</x:v>
      </x:c>
      <x:c r="P53" s="61" t="n">
        <x:f>IF(N53="","",L53*N53)</x:f>
        <x:v>0</x:v>
      </x:c>
      <x:c r="Q53" s="61" t="n">
        <x:f>IF(N53="","",M53*N53)</x:f>
        <x:v>0</x:v>
      </x:c>
      <x:c r="R53" s="42" t="str">
        <x:v>已有</x:v>
      </x:c>
      <x:c r="S53" s="42" t="str">
        <x:v>ZC-20260722-007</x:v>
      </x:c>
      <x:c r="T53" s="67" t="n">
        <x:v>46225</x:v>
      </x:c>
      <x:c r="U53" s="42" t="str">
        <x:v>装机建议量</x:v>
      </x:c>
    </x:row>
    <x:row r="54">
      <x:c r="A54" s="41" t="str">
        <x:v>CPI-CONS-008</x:v>
      </x:c>
      <x:c r="B54" s="41" t="str">
        <x:v>装配耗材</x:v>
      </x:c>
      <x:c r="C54" s="41" t="str">
        <x:v>三级部件</x:v>
      </x:c>
      <x:c r="D54" s="41" t="str">
        <x:v>M3铜柱12mm</x:v>
      </x:c>
      <x:c r="E54" s="41" t="str">
        <x:v>M3×12+3</x:v>
      </x:c>
      <x:c r="F54" s="41" t="str">
        <x:v>支</x:v>
      </x:c>
      <x:c r="G54" s="53" t="n">
        <x:v>4</x:v>
      </x:c>
      <x:c r="H54" s="53" t="n">
        <x:v>4</x:v>
      </x:c>
      <x:c r="I54" s="53" t="n">
        <x:v>4</x:v>
      </x:c>
      <x:c r="J54" s="53" t="n">
        <x:v>50</x:v>
      </x:c>
      <x:c r="K54" s="54" t="n">
        <x:f>MAX(0,G54-J54)</x:f>
        <x:v>0</x:v>
      </x:c>
      <x:c r="L54" s="54" t="n">
        <x:f>MAX(0,H54-J54)</x:f>
        <x:v>0</x:v>
      </x:c>
      <x:c r="M54" s="54" t="n">
        <x:f>MAX(0,I54-MAX(0,J54-H54))</x:f>
        <x:v>0</x:v>
      </x:c>
      <x:c r="N54" s="60" t="n">
        <x:v>0.16820000000000002</x:v>
      </x:c>
      <x:c r="O54" s="61" t="n">
        <x:f>IF(N54="","",K54*N54)</x:f>
        <x:v>0</x:v>
      </x:c>
      <x:c r="P54" s="61" t="n">
        <x:f>IF(N54="","",L54*N54)</x:f>
        <x:v>0</x:v>
      </x:c>
      <x:c r="Q54" s="61" t="n">
        <x:f>IF(N54="","",M54*N54)</x:f>
        <x:v>0</x:v>
      </x:c>
      <x:c r="R54" s="41" t="str">
        <x:v>已有</x:v>
      </x:c>
      <x:c r="S54" s="41" t="str">
        <x:v>ZC-20260722-001</x:v>
      </x:c>
      <x:c r="T54" s="66" t="n">
        <x:v>46225</x:v>
      </x:c>
      <x:c r="U54" s="41" t="str">
        <x:v>板卡安装</x:v>
      </x:c>
    </x:row>
    <x:row r="55">
      <x:c r="A55" s="42" t="str">
        <x:v>CPI-CONS-009</x:v>
      </x:c>
      <x:c r="B55" s="42" t="str">
        <x:v>装配耗材</x:v>
      </x:c>
      <x:c r="C55" s="42" t="str">
        <x:v>三级部件</x:v>
      </x:c>
      <x:c r="D55" s="42" t="str">
        <x:v>M3铜柱20mm</x:v>
      </x:c>
      <x:c r="E55" s="42" t="str">
        <x:v>M3×20+3</x:v>
      </x:c>
      <x:c r="F55" s="42" t="str">
        <x:v>支</x:v>
      </x:c>
      <x:c r="G55" s="55" t="n">
        <x:v>4</x:v>
      </x:c>
      <x:c r="H55" s="55" t="n">
        <x:v>4</x:v>
      </x:c>
      <x:c r="I55" s="55" t="n">
        <x:v>4</x:v>
      </x:c>
      <x:c r="J55" s="55" t="n">
        <x:v>50</x:v>
      </x:c>
      <x:c r="K55" s="54" t="n">
        <x:f>MAX(0,G55-J55)</x:f>
        <x:v>0</x:v>
      </x:c>
      <x:c r="L55" s="54" t="n">
        <x:f>MAX(0,H55-J55)</x:f>
        <x:v>0</x:v>
      </x:c>
      <x:c r="M55" s="54" t="n">
        <x:f>MAX(0,I55-MAX(0,J55-H55))</x:f>
        <x:v>0</x:v>
      </x:c>
      <x:c r="N55" s="62" t="n">
        <x:v>0.2492</x:v>
      </x:c>
      <x:c r="O55" s="61" t="n">
        <x:f>IF(N55="","",K55*N55)</x:f>
        <x:v>0</x:v>
      </x:c>
      <x:c r="P55" s="61" t="n">
        <x:f>IF(N55="","",L55*N55)</x:f>
        <x:v>0</x:v>
      </x:c>
      <x:c r="Q55" s="61" t="n">
        <x:f>IF(N55="","",M55*N55)</x:f>
        <x:v>0</x:v>
      </x:c>
      <x:c r="R55" s="42" t="str">
        <x:v>已有</x:v>
      </x:c>
      <x:c r="S55" s="42" t="str">
        <x:v>ZC-20260722-004</x:v>
      </x:c>
      <x:c r="T55" s="67" t="n">
        <x:v>46225</x:v>
      </x:c>
      <x:c r="U55" s="42" t="str">
        <x:v>板卡安装</x:v>
      </x:c>
    </x:row>
    <x:row r="56">
      <x:c r="A56" s="41" t="str">
        <x:v>CPI-CONS-010</x:v>
      </x:c>
      <x:c r="B56" s="41" t="str">
        <x:v>装配耗材</x:v>
      </x:c>
      <x:c r="C56" s="41" t="str">
        <x:v>三级部件</x:v>
      </x:c>
      <x:c r="D56" s="41" t="str">
        <x:v>管型端子</x:v>
      </x:c>
      <x:c r="E56" s="41" t="str">
        <x:v>VE1508等 / 按线径选用</x:v>
      </x:c>
      <x:c r="F56" s="41" t="str">
        <x:v>个</x:v>
      </x:c>
      <x:c r="G56" s="53" t="n">
        <x:v>12</x:v>
      </x:c>
      <x:c r="H56" s="53" t="n">
        <x:v>24</x:v>
      </x:c>
      <x:c r="I56" s="53" t="n">
        <x:v>12</x:v>
      </x:c>
      <x:c r="J56" s="53" t="n">
        <x:v>1200</x:v>
      </x:c>
      <x:c r="K56" s="54" t="n">
        <x:f>MAX(0,G56-J56)</x:f>
        <x:v>0</x:v>
      </x:c>
      <x:c r="L56" s="54" t="n">
        <x:f>MAX(0,H56-J56)</x:f>
        <x:v>0</x:v>
      </x:c>
      <x:c r="M56" s="54" t="n">
        <x:f>MAX(0,I56-MAX(0,J56-H56))</x:f>
        <x:v>0</x:v>
      </x:c>
      <x:c r="N56" s="60" t="n">
        <x:v>0.01485</x:v>
      </x:c>
      <x:c r="O56" s="61" t="n">
        <x:f>IF(N56="","",K56*N56)</x:f>
        <x:v>0</x:v>
      </x:c>
      <x:c r="P56" s="61" t="n">
        <x:f>IF(N56="","",L56*N56)</x:f>
        <x:v>0</x:v>
      </x:c>
      <x:c r="Q56" s="61" t="n">
        <x:f>IF(N56="","",M56*N56)</x:f>
        <x:v>0</x:v>
      </x:c>
      <x:c r="R56" s="41" t="str">
        <x:v>已有</x:v>
      </x:c>
      <x:c r="S56" s="41" t="str">
        <x:v>ZC-20260722-021</x:v>
      </x:c>
      <x:c r="T56" s="66" t="n">
        <x:v>46225</x:v>
      </x:c>
      <x:c r="U56" s="41" t="str">
        <x:v>从现有1200只套装中领用</x:v>
      </x:c>
    </x:row>
    <x:row r="57">
      <x:c r="A57" s="42" t="str">
        <x:v>CPI-CONS-011</x:v>
      </x:c>
      <x:c r="B57" s="42" t="str">
        <x:v>装配耗材</x:v>
      </x:c>
      <x:c r="C57" s="42" t="str">
        <x:v>三级部件</x:v>
      </x:c>
      <x:c r="D57" s="42" t="str">
        <x:v>3位接线端子连接器</x:v>
      </x:c>
      <x:c r="E57" s="42" t="str">
        <x:v>H3802-15A-03 / 白色</x:v>
      </x:c>
      <x:c r="F57" s="42" t="str">
        <x:v>个</x:v>
      </x:c>
      <x:c r="G57" s="55" t="n">
        <x:v>2</x:v>
      </x:c>
      <x:c r="H57" s="55" t="n">
        <x:v>4</x:v>
      </x:c>
      <x:c r="I57" s="55" t="n">
        <x:v>2</x:v>
      </x:c>
      <x:c r="J57" s="55" t="n">
        <x:v>5</x:v>
      </x:c>
      <x:c r="K57" s="54" t="n">
        <x:f>MAX(0,G57-J57)</x:f>
        <x:v>0</x:v>
      </x:c>
      <x:c r="L57" s="54" t="n">
        <x:f>MAX(0,H57-J57)</x:f>
        <x:v>0</x:v>
      </x:c>
      <x:c r="M57" s="54" t="n">
        <x:f>MAX(0,I57-MAX(0,J57-H57))</x:f>
        <x:v>1</x:v>
      </x:c>
      <x:c r="N57" s="62" t="n">
        <x:v>4.98</x:v>
      </x:c>
      <x:c r="O57" s="61" t="n">
        <x:f>IF(N57="","",K57*N57)</x:f>
        <x:v>0</x:v>
      </x:c>
      <x:c r="P57" s="61" t="n">
        <x:f>IF(N57="","",L57*N57)</x:f>
        <x:v>0</x:v>
      </x:c>
      <x:c r="Q57" s="61" t="n">
        <x:f>IF(N57="","",M57*N57)</x:f>
        <x:v>4.98</x:v>
      </x:c>
      <x:c r="R57" s="42" t="str">
        <x:v>部分已有</x:v>
      </x:c>
      <x:c r="S57" s="42" t="str">
        <x:v>ZC-20260722-022</x:v>
      </x:c>
      <x:c r="T57" s="67" t="n">
        <x:v>46225</x:v>
      </x:c>
      <x:c r="U57" s="42" t="str">
        <x:v>现有5个</x:v>
      </x:c>
    </x:row>
    <x:row r="58">
      <x:c r="A58" s="41" t="str">
        <x:v>CPI-CONS-012</x:v>
      </x:c>
      <x:c r="B58" s="41" t="str">
        <x:v>装配耗材</x:v>
      </x:c>
      <x:c r="C58" s="41" t="str">
        <x:v>三级部件</x:v>
      </x:c>
      <x:c r="D58" s="41" t="str">
        <x:v>电工绝缘胶带</x:v>
      </x:c>
      <x:c r="E58" s="41" t="str">
        <x:v>PVC阻燃防水</x:v>
      </x:c>
      <x:c r="F58" s="41" t="str">
        <x:v>卷</x:v>
      </x:c>
      <x:c r="G58" s="53" t="n">
        <x:v>1</x:v>
      </x:c>
      <x:c r="H58" s="53" t="n">
        <x:v>1</x:v>
      </x:c>
      <x:c r="I58" s="53" t="n">
        <x:v>1</x:v>
      </x:c>
      <x:c r="J58" s="53" t="n">
        <x:v>2</x:v>
      </x:c>
      <x:c r="K58" s="54" t="n">
        <x:f>MAX(0,G58-J58)</x:f>
        <x:v>0</x:v>
      </x:c>
      <x:c r="L58" s="54" t="n">
        <x:f>MAX(0,H58-J58)</x:f>
        <x:v>0</x:v>
      </x:c>
      <x:c r="M58" s="54" t="n">
        <x:f>MAX(0,I58-MAX(0,J58-H58))</x:f>
        <x:v>0</x:v>
      </x:c>
      <x:c r="N58" s="60" t="n">
        <x:v>2.5</x:v>
      </x:c>
      <x:c r="O58" s="61" t="n">
        <x:f>IF(N58="","",K58*N58)</x:f>
        <x:v>0</x:v>
      </x:c>
      <x:c r="P58" s="61" t="n">
        <x:f>IF(N58="","",L58*N58)</x:f>
        <x:v>0</x:v>
      </x:c>
      <x:c r="Q58" s="61" t="n">
        <x:f>IF(N58="","",M58*N58)</x:f>
        <x:v>0</x:v>
      </x:c>
      <x:c r="R58" s="41" t="str">
        <x:v>已有</x:v>
      </x:c>
      <x:c r="S58" s="41" t="str">
        <x:v>ZC-20260807-006</x:v>
      </x:c>
      <x:c r="T58" s="66" t="n">
        <x:v>46241</x:v>
      </x:c>
      <x:c r="U58" s="41" t="str">
        <x:v>仅作辅助绝缘，不作为耐压舱主密封</x:v>
      </x:c>
    </x:row>
    <x:row r="59">
      <x:c r="A59" s="42" t="str">
        <x:v>CPI-CONS-013</x:v>
      </x:c>
      <x:c r="B59" s="42" t="str">
        <x:v>装配耗材</x:v>
      </x:c>
      <x:c r="C59" s="42" t="str">
        <x:v>三级部件</x:v>
      </x:c>
      <x:c r="D59" s="42" t="str">
        <x:v>电子焊接锡丝</x:v>
      </x:c>
      <x:c r="E59" s="42" t="str">
        <x:v>无铅低温 / 自带松香</x:v>
      </x:c>
      <x:c r="F59" s="42" t="str">
        <x:v>份</x:v>
      </x:c>
      <x:c r="G59" s="55" t="n">
        <x:v>1</x:v>
      </x:c>
      <x:c r="H59" s="55" t="n">
        <x:v>1</x:v>
      </x:c>
      <x:c r="I59" s="55" t="n">
        <x:v>1</x:v>
      </x:c>
      <x:c r="J59" s="55" t="n">
        <x:v>1</x:v>
      </x:c>
      <x:c r="K59" s="54" t="n">
        <x:f>MAX(0,G59-J59)</x:f>
        <x:v>0</x:v>
      </x:c>
      <x:c r="L59" s="54" t="n">
        <x:f>MAX(0,H59-J59)</x:f>
        <x:v>0</x:v>
      </x:c>
      <x:c r="M59" s="54" t="n">
        <x:f>MAX(0,I59-MAX(0,J59-H59))</x:f>
        <x:v>1</x:v>
      </x:c>
      <x:c r="N59" s="62" t="n">
        <x:v>15.8</x:v>
      </x:c>
      <x:c r="O59" s="61" t="n">
        <x:f>IF(N59="","",K59*N59)</x:f>
        <x:v>0</x:v>
      </x:c>
      <x:c r="P59" s="61" t="n">
        <x:f>IF(N59="","",L59*N59)</x:f>
        <x:v>0</x:v>
      </x:c>
      <x:c r="Q59" s="61" t="n">
        <x:f>IF(N59="","",M59*N59)</x:f>
        <x:v>15.8</x:v>
      </x:c>
      <x:c r="R59" s="42" t="str">
        <x:v>部分已有</x:v>
      </x:c>
      <x:c r="S59" s="42" t="str">
        <x:v>ZC-20260713-001</x:v>
      </x:c>
      <x:c r="T59" s="67" t="n">
        <x:v>46216</x:v>
      </x:c>
      <x:c r="U59" s="42" t="str">
        <x:v>按单台项目领用份额管理</x:v>
      </x:c>
    </x:row>
    <x:row r="60">
      <x:c r="A60" s="41" t="str">
        <x:v>CPI-CONS-014</x:v>
      </x:c>
      <x:c r="B60" s="41" t="str">
        <x:v>装配耗材</x:v>
      </x:c>
      <x:c r="C60" s="41" t="str">
        <x:v>三级部件</x:v>
      </x:c>
      <x:c r="D60" s="41" t="str">
        <x:v>尼龙扎带与线束固定座</x:v>
      </x:c>
      <x:c r="E60" s="41" t="str">
        <x:v>多规格 / 耐潮</x:v>
      </x:c>
      <x:c r="F60" s="41" t="str">
        <x:v>套</x:v>
      </x:c>
      <x:c r="G60" s="53" t="n">
        <x:v>1</x:v>
      </x:c>
      <x:c r="H60" s="53" t="n">
        <x:v>1</x:v>
      </x:c>
      <x:c r="I60" s="53" t="n">
        <x:v>1</x:v>
      </x:c>
      <x:c r="J60" s="53" t="n">
        <x:v>0</x:v>
      </x:c>
      <x:c r="K60" s="54" t="n">
        <x:f>MAX(0,G60-J60)</x:f>
        <x:v>1</x:v>
      </x:c>
      <x:c r="L60" s="54" t="n">
        <x:f>MAX(0,H60-J60)</x:f>
        <x:v>1</x:v>
      </x:c>
      <x:c r="M60" s="54" t="n">
        <x:f>MAX(0,I60-MAX(0,J60-H60))</x:f>
        <x:v>1</x:v>
      </x:c>
      <x:c r="N60" s="60"/>
      <x:c r="O60" s="61" t="str">
        <x:f>IF(N60="","",K60*N60)</x:f>
      </x:c>
      <x:c r="P60" s="61" t="str">
        <x:f>IF(N60="","",L60*N60)</x:f>
      </x:c>
      <x:c r="Q60" s="61" t="str">
        <x:f>IF(N60="","",M60*N60)</x:f>
      </x:c>
      <x:c r="R60" s="41" t="str">
        <x:v>待选型</x:v>
      </x:c>
      <x:c r="S60" s="41"/>
      <x:c r="T60" s="66"/>
      <x:c r="U60" s="41" t="str">
        <x:v>舱内线束整理</x:v>
      </x:c>
    </x:row>
    <x:row r="61">
      <x:c r="A61" s="42" t="str">
        <x:v>CPI-CONS-015</x:v>
      </x:c>
      <x:c r="B61" s="42" t="str">
        <x:v>装配耗材</x:v>
      </x:c>
      <x:c r="C61" s="42" t="str">
        <x:v>三级部件</x:v>
      </x:c>
      <x:c r="D61" s="42" t="str">
        <x:v>中强度螺纹锁固剂</x:v>
      </x:c>
      <x:c r="E61" s="42" t="str">
        <x:v>适用于不锈钢紧固件</x:v>
      </x:c>
      <x:c r="F61" s="42" t="str">
        <x:v>份</x:v>
      </x:c>
      <x:c r="G61" s="55" t="n">
        <x:v>1</x:v>
      </x:c>
      <x:c r="H61" s="55" t="n">
        <x:v>1</x:v>
      </x:c>
      <x:c r="I61" s="55" t="n">
        <x:v>1</x:v>
      </x:c>
      <x:c r="J61" s="55" t="n">
        <x:v>0</x:v>
      </x:c>
      <x:c r="K61" s="54" t="n">
        <x:f>MAX(0,G61-J61)</x:f>
        <x:v>1</x:v>
      </x:c>
      <x:c r="L61" s="54" t="n">
        <x:f>MAX(0,H61-J61)</x:f>
        <x:v>1</x:v>
      </x:c>
      <x:c r="M61" s="54" t="n">
        <x:f>MAX(0,I61-MAX(0,J61-H61))</x:f>
        <x:v>1</x:v>
      </x:c>
      <x:c r="N61" s="62"/>
      <x:c r="O61" s="61" t="str">
        <x:f>IF(N61="","",K61*N61)</x:f>
      </x:c>
      <x:c r="P61" s="61" t="str">
        <x:f>IF(N61="","",L61*N61)</x:f>
      </x:c>
      <x:c r="Q61" s="61" t="str">
        <x:f>IF(N61="","",M61*N61)</x:f>
      </x:c>
      <x:c r="R61" s="42" t="str">
        <x:v>待选型</x:v>
      </x:c>
      <x:c r="S61" s="42"/>
      <x:c r="T61" s="67"/>
      <x:c r="U61" s="42" t="str">
        <x:v>避免使用永久高强度型号</x:v>
      </x:c>
    </x:row>
    <x:row r="62">
      <x:c r="A62" s="41" t="str">
        <x:v>CPI-SAFE-001</x:v>
      </x:c>
      <x:c r="B62" s="41" t="str">
        <x:v>安全回收</x:v>
      </x:c>
      <x:c r="C62" s="41" t="str">
        <x:v>一级部件</x:v>
      </x:c>
      <x:c r="D62" s="41" t="str">
        <x:v>安全回收绳</x:v>
      </x:c>
      <x:c r="E62" s="41" t="str">
        <x:v>低伸长高强度绳 / 建议35 m含余量</x:v>
      </x:c>
      <x:c r="F62" s="41" t="str">
        <x:v>米</x:v>
      </x:c>
      <x:c r="G62" s="53" t="n">
        <x:v>10</x:v>
      </x:c>
      <x:c r="H62" s="53" t="n">
        <x:v>35</x:v>
      </x:c>
      <x:c r="I62" s="53" t="n">
        <x:v>0</x:v>
      </x:c>
      <x:c r="J62" s="53" t="n">
        <x:v>0</x:v>
      </x:c>
      <x:c r="K62" s="54" t="n">
        <x:f>MAX(0,G62-J62)</x:f>
        <x:v>10</x:v>
      </x:c>
      <x:c r="L62" s="54" t="n">
        <x:f>MAX(0,H62-J62)</x:f>
        <x:v>35</x:v>
      </x:c>
      <x:c r="M62" s="54" t="n">
        <x:f>MAX(0,I62-MAX(0,J62-H62))</x:f>
        <x:v>0</x:v>
      </x:c>
      <x:c r="N62" s="60"/>
      <x:c r="O62" s="61" t="str">
        <x:f>IF(N62="","",K62*N62)</x:f>
      </x:c>
      <x:c r="P62" s="61" t="str">
        <x:f>IF(N62="","",L62*N62)</x:f>
      </x:c>
      <x:c r="Q62" s="61" t="str">
        <x:f>IF(N62="","",M62*N62)</x:f>
      </x:c>
      <x:c r="R62" s="41" t="str">
        <x:v>待选型</x:v>
      </x:c>
      <x:c r="S62" s="41"/>
      <x:c r="T62" s="66"/>
      <x:c r="U62" s="41" t="str">
        <x:v>完整版无网线脐带，保留独立安全回收措施</x:v>
      </x:c>
    </x:row>
    <x:row r="63">
      <x:c r="A63" s="42" t="str">
        <x:v>CPI-SAFE-002</x:v>
      </x:c>
      <x:c r="B63" s="42" t="str">
        <x:v>安全回收</x:v>
      </x:c>
      <x:c r="C63" s="42" t="str">
        <x:v>二级部件</x:v>
      </x:c>
      <x:c r="D63" s="42" t="str">
        <x:v>不锈钢卸扣/连接环</x:v>
      </x:c>
      <x:c r="E63" s="42" t="str">
        <x:v>耐腐蚀 / 与回收绳及框架匹配</x:v>
      </x:c>
      <x:c r="F63" s="42" t="str">
        <x:v>个</x:v>
      </x:c>
      <x:c r="G63" s="55" t="n">
        <x:v>2</x:v>
      </x:c>
      <x:c r="H63" s="55" t="n">
        <x:v>2</x:v>
      </x:c>
      <x:c r="I63" s="55" t="n">
        <x:v>0</x:v>
      </x:c>
      <x:c r="J63" s="55" t="n">
        <x:v>0</x:v>
      </x:c>
      <x:c r="K63" s="54" t="n">
        <x:f>MAX(0,G63-J63)</x:f>
        <x:v>2</x:v>
      </x:c>
      <x:c r="L63" s="54" t="n">
        <x:f>MAX(0,H63-J63)</x:f>
        <x:v>2</x:v>
      </x:c>
      <x:c r="M63" s="54" t="n">
        <x:f>MAX(0,I63-MAX(0,J63-H63))</x:f>
        <x:v>0</x:v>
      </x:c>
      <x:c r="N63" s="62"/>
      <x:c r="O63" s="61" t="str">
        <x:f>IF(N63="","",K63*N63)</x:f>
      </x:c>
      <x:c r="P63" s="61" t="str">
        <x:f>IF(N63="","",L63*N63)</x:f>
      </x:c>
      <x:c r="Q63" s="61" t="str">
        <x:f>IF(N63="","",M63*N63)</x:f>
      </x:c>
      <x:c r="R63" s="42" t="str">
        <x:v>待选型</x:v>
      </x:c>
      <x:c r="S63" s="42"/>
      <x:c r="T63" s="67"/>
      <x:c r="U63" s="42" t="str">
        <x:v>设置独立承力点</x:v>
      </x:c>
    </x:row>
    <x:row r="64">
      <x:c r="A64" s="41" t="str">
        <x:v>CPI-SAFE-003</x:v>
      </x:c>
      <x:c r="B64" s="41" t="str">
        <x:v>安全回收</x:v>
      </x:c>
      <x:c r="C64" s="41" t="str">
        <x:v>二级部件</x:v>
      </x:c>
      <x:c r="D64" s="41" t="str">
        <x:v>高可视识别标识</x:v>
      </x:c>
      <x:c r="E64" s="41" t="str">
        <x:v>橙色或荧光耐水标识</x:v>
      </x:c>
      <x:c r="F64" s="41" t="str">
        <x:v>套</x:v>
      </x:c>
      <x:c r="G64" s="53" t="n">
        <x:v>1</x:v>
      </x:c>
      <x:c r="H64" s="53" t="n">
        <x:v>1</x:v>
      </x:c>
      <x:c r="I64" s="53" t="n">
        <x:v>0</x:v>
      </x:c>
      <x:c r="J64" s="53" t="n">
        <x:v>0</x:v>
      </x:c>
      <x:c r="K64" s="54" t="n">
        <x:f>MAX(0,G64-J64)</x:f>
        <x:v>1</x:v>
      </x:c>
      <x:c r="L64" s="54" t="n">
        <x:f>MAX(0,H64-J64)</x:f>
        <x:v>1</x:v>
      </x:c>
      <x:c r="M64" s="54" t="n">
        <x:f>MAX(0,I64-MAX(0,J64-H64))</x:f>
        <x:v>0</x:v>
      </x:c>
      <x:c r="N64" s="60"/>
      <x:c r="O64" s="61" t="str">
        <x:f>IF(N64="","",K64*N64)</x:f>
      </x:c>
      <x:c r="P64" s="61" t="str">
        <x:f>IF(N64="","",L64*N64)</x:f>
      </x:c>
      <x:c r="Q64" s="61" t="str">
        <x:f>IF(N64="","",M64*N64)</x:f>
      </x:c>
      <x:c r="R64" s="41" t="str">
        <x:v>待选型</x:v>
      </x:c>
      <x:c r="S64" s="41"/>
      <x:c r="T64" s="66"/>
      <x:c r="U64" s="41" t="str">
        <x:v>便于水面与水下识别</x:v>
      </x:c>
    </x:row>
    <x:row r="65">
      <x:c r="A65" s="42" t="str">
        <x:v>CPI-UPG-001</x:v>
      </x:c>
      <x:c r="B65" s="42" t="str">
        <x:v>后续升级</x:v>
      </x:c>
      <x:c r="C65" s="42" t="str">
        <x:v>一级部件</x:v>
      </x:c>
      <x:c r="D65" s="42" t="str">
        <x:v>Jetson Nano计算平台</x:v>
      </x:c>
      <x:c r="E65" s="42" t="str">
        <x:v>视觉感知计算 / 型号与内存版本待选</x:v>
      </x:c>
      <x:c r="F65" s="42" t="str">
        <x:v>套</x:v>
      </x:c>
      <x:c r="G65" s="55" t="n">
        <x:v>0</x:v>
      </x:c>
      <x:c r="H65" s="55" t="n">
        <x:v>0</x:v>
      </x:c>
      <x:c r="I65" s="55" t="n">
        <x:v>1</x:v>
      </x:c>
      <x:c r="J65" s="55" t="n">
        <x:v>0</x:v>
      </x:c>
      <x:c r="K65" s="54" t="n">
        <x:f>MAX(0,G65-J65)</x:f>
        <x:v>0</x:v>
      </x:c>
      <x:c r="L65" s="54" t="n">
        <x:f>MAX(0,H65-J65)</x:f>
        <x:v>0</x:v>
      </x:c>
      <x:c r="M65" s="54" t="n">
        <x:f>MAX(0,I65-MAX(0,J65-H65))</x:f>
        <x:v>1</x:v>
      </x:c>
      <x:c r="N65" s="62"/>
      <x:c r="O65" s="61" t="str">
        <x:f>IF(N65="","",K65*N65)</x:f>
      </x:c>
      <x:c r="P65" s="61" t="str">
        <x:f>IF(N65="","",L65*N65)</x:f>
      </x:c>
      <x:c r="Q65" s="61" t="str">
        <x:f>IF(N65="","",M65*N65)</x:f>
      </x:c>
      <x:c r="R65" s="42" t="str">
        <x:v>可选升级</x:v>
      </x:c>
      <x:c r="S65" s="42"/>
      <x:c r="T65" s="67"/>
      <x:c r="U65" s="42" t="str">
        <x:v>参考公开CavePI视觉计算架构</x:v>
      </x:c>
    </x:row>
    <x:row r="66">
      <x:c r="A66" s="41" t="str">
        <x:v>CPI-UPG-002</x:v>
      </x:c>
      <x:c r="B66" s="41" t="str">
        <x:v>后续升级</x:v>
      </x:c>
      <x:c r="C66" s="41" t="str">
        <x:v>一级部件</x:v>
      </x:c>
      <x:c r="D66" s="41" t="str">
        <x:v>树莓派5开发板</x:v>
      </x:c>
      <x:c r="E66" s="41" t="str">
        <x:v>规划与控制计算 / 内存版本待选</x:v>
      </x:c>
      <x:c r="F66" s="41" t="str">
        <x:v>套</x:v>
      </x:c>
      <x:c r="G66" s="53" t="n">
        <x:v>0</x:v>
      </x:c>
      <x:c r="H66" s="53" t="n">
        <x:v>0</x:v>
      </x:c>
      <x:c r="I66" s="53" t="n">
        <x:v>1</x:v>
      </x:c>
      <x:c r="J66" s="53" t="n">
        <x:v>0</x:v>
      </x:c>
      <x:c r="K66" s="54" t="n">
        <x:f>MAX(0,G66-J66)</x:f>
        <x:v>0</x:v>
      </x:c>
      <x:c r="L66" s="54" t="n">
        <x:f>MAX(0,H66-J66)</x:f>
        <x:v>0</x:v>
      </x:c>
      <x:c r="M66" s="54" t="n">
        <x:f>MAX(0,I66-MAX(0,J66-H66))</x:f>
        <x:v>1</x:v>
      </x:c>
      <x:c r="N66" s="60"/>
      <x:c r="O66" s="61" t="str">
        <x:f>IF(N66="","",K66*N66)</x:f>
      </x:c>
      <x:c r="P66" s="61" t="str">
        <x:f>IF(N66="","",L66*N66)</x:f>
      </x:c>
      <x:c r="Q66" s="61" t="str">
        <x:f>IF(N66="","",M66*N66)</x:f>
      </x:c>
      <x:c r="R66" s="41" t="str">
        <x:v>可选升级</x:v>
      </x:c>
      <x:c r="S66" s="41"/>
      <x:c r="T66" s="66"/>
      <x:c r="U66" s="41" t="str">
        <x:v>后续版本升级计算平台</x:v>
      </x:c>
    </x:row>
    <x:row r="67">
      <x:c r="A67" s="42" t="str">
        <x:v>CPI-UPG-003</x:v>
      </x:c>
      <x:c r="B67" s="42" t="str">
        <x:v>后续升级</x:v>
      </x:c>
      <x:c r="C67" s="42" t="str">
        <x:v>一级部件</x:v>
      </x:c>
      <x:c r="D67" s="42" t="str">
        <x:v>前视低照度摄像头</x:v>
      </x:c>
      <x:c r="E67" s="42" t="str">
        <x:v>水下低照度 / 视场角与接口待选</x:v>
      </x:c>
      <x:c r="F67" s="42" t="str">
        <x:v>套</x:v>
      </x:c>
      <x:c r="G67" s="55" t="n">
        <x:v>0</x:v>
      </x:c>
      <x:c r="H67" s="55" t="n">
        <x:v>0</x:v>
      </x:c>
      <x:c r="I67" s="55" t="n">
        <x:v>1</x:v>
      </x:c>
      <x:c r="J67" s="55" t="n">
        <x:v>0</x:v>
      </x:c>
      <x:c r="K67" s="54" t="n">
        <x:f>MAX(0,G67-J67)</x:f>
        <x:v>0</x:v>
      </x:c>
      <x:c r="L67" s="54" t="n">
        <x:f>MAX(0,H67-J67)</x:f>
        <x:v>0</x:v>
      </x:c>
      <x:c r="M67" s="54" t="n">
        <x:f>MAX(0,I67-MAX(0,J67-H67))</x:f>
        <x:v>1</x:v>
      </x:c>
      <x:c r="N67" s="62"/>
      <x:c r="O67" s="61" t="str">
        <x:f>IF(N67="","",K67*N67)</x:f>
      </x:c>
      <x:c r="P67" s="61" t="str">
        <x:f>IF(N67="","",L67*N67)</x:f>
      </x:c>
      <x:c r="Q67" s="61" t="str">
        <x:f>IF(N67="","",M67*N67)</x:f>
      </x:c>
      <x:c r="R67" s="42" t="str">
        <x:v>可选升级</x:v>
      </x:c>
      <x:c r="S67" s="42"/>
      <x:c r="T67" s="67"/>
      <x:c r="U67" s="42" t="str">
        <x:v>第一版不配置摄像头</x:v>
      </x:c>
    </x:row>
    <x:row r="68">
      <x:c r="A68" s="41" t="str">
        <x:v>CPI-UPG-004</x:v>
      </x:c>
      <x:c r="B68" s="41" t="str">
        <x:v>后续升级</x:v>
      </x:c>
      <x:c r="C68" s="41" t="str">
        <x:v>一级部件</x:v>
      </x:c>
      <x:c r="D68" s="41" t="str">
        <x:v>下视低照度摄像头</x:v>
      </x:c>
      <x:c r="E68" s="41" t="str">
        <x:v>引导线识别 / 视场角与接口待选</x:v>
      </x:c>
      <x:c r="F68" s="41" t="str">
        <x:v>套</x:v>
      </x:c>
      <x:c r="G68" s="53" t="n">
        <x:v>0</x:v>
      </x:c>
      <x:c r="H68" s="53" t="n">
        <x:v>0</x:v>
      </x:c>
      <x:c r="I68" s="53" t="n">
        <x:v>1</x:v>
      </x:c>
      <x:c r="J68" s="53" t="n">
        <x:v>0</x:v>
      </x:c>
      <x:c r="K68" s="54" t="n">
        <x:f>MAX(0,G68-J68)</x:f>
        <x:v>0</x:v>
      </x:c>
      <x:c r="L68" s="54" t="n">
        <x:f>MAX(0,H68-J68)</x:f>
        <x:v>0</x:v>
      </x:c>
      <x:c r="M68" s="54" t="n">
        <x:f>MAX(0,I68-MAX(0,J68-H68))</x:f>
        <x:v>1</x:v>
      </x:c>
      <x:c r="N68" s="60"/>
      <x:c r="O68" s="61" t="str">
        <x:f>IF(N68="","",K68*N68)</x:f>
      </x:c>
      <x:c r="P68" s="61" t="str">
        <x:f>IF(N68="","",L68*N68)</x:f>
      </x:c>
      <x:c r="Q68" s="61" t="str">
        <x:f>IF(N68="","",M68*N68)</x:f>
      </x:c>
      <x:c r="R68" s="41" t="str">
        <x:v>可选升级</x:v>
      </x:c>
      <x:c r="S68" s="41"/>
      <x:c r="T68" s="66"/>
      <x:c r="U68" s="41" t="str">
        <x:v>第一版不配置摄像头</x:v>
      </x:c>
    </x:row>
    <x:row r="69">
      <x:c r="A69" s="42" t="str">
        <x:v>CPI-UPG-005</x:v>
      </x:c>
      <x:c r="B69" s="42" t="str">
        <x:v>后续升级</x:v>
      </x:c>
      <x:c r="C69" s="42" t="str">
        <x:v>二级部件</x:v>
      </x:c>
      <x:c r="D69" s="42" t="str">
        <x:v>摄像头水密窗口/舱体</x:v>
      </x:c>
      <x:c r="E69" s="42" t="str">
        <x:v>前视+下视 / 30 m级 / 光学窗口</x:v>
      </x:c>
      <x:c r="F69" s="42" t="str">
        <x:v>套</x:v>
      </x:c>
      <x:c r="G69" s="55" t="n">
        <x:v>0</x:v>
      </x:c>
      <x:c r="H69" s="55" t="n">
        <x:v>0</x:v>
      </x:c>
      <x:c r="I69" s="55" t="n">
        <x:v>2</x:v>
      </x:c>
      <x:c r="J69" s="55" t="n">
        <x:v>0</x:v>
      </x:c>
      <x:c r="K69" s="54" t="n">
        <x:f>MAX(0,G69-J69)</x:f>
        <x:v>0</x:v>
      </x:c>
      <x:c r="L69" s="54" t="n">
        <x:f>MAX(0,H69-J69)</x:f>
        <x:v>0</x:v>
      </x:c>
      <x:c r="M69" s="54" t="n">
        <x:f>MAX(0,I69-MAX(0,J69-H69))</x:f>
        <x:v>2</x:v>
      </x:c>
      <x:c r="N69" s="62"/>
      <x:c r="O69" s="61" t="str">
        <x:f>IF(N69="","",K69*N69)</x:f>
      </x:c>
      <x:c r="P69" s="61" t="str">
        <x:f>IF(N69="","",L69*N69)</x:f>
      </x:c>
      <x:c r="Q69" s="61" t="str">
        <x:f>IF(N69="","",M69*N69)</x:f>
      </x:c>
      <x:c r="R69" s="42" t="str">
        <x:v>可选升级</x:v>
      </x:c>
      <x:c r="S69" s="42"/>
      <x:c r="T69" s="67"/>
      <x:c r="U69" s="42" t="str">
        <x:v>需与摄像头视场和舱体布局匹配</x:v>
      </x:c>
    </x:row>
    <x:row r="70">
      <x:c r="A70" s="41" t="str">
        <x:v>CPI-UPG-006</x:v>
      </x:c>
      <x:c r="B70" s="41" t="str">
        <x:v>后续升级</x:v>
      </x:c>
      <x:c r="C70" s="41" t="str">
        <x:v>一级部件</x:v>
      </x:c>
      <x:c r="D70" s="41" t="str">
        <x:v>Ping2级声呐测距模块</x:v>
      </x:c>
      <x:c r="E70" s="41" t="str">
        <x:v>障碍测距 / 具体型号待选</x:v>
      </x:c>
      <x:c r="F70" s="41" t="str">
        <x:v>套</x:v>
      </x:c>
      <x:c r="G70" s="53" t="n">
        <x:v>0</x:v>
      </x:c>
      <x:c r="H70" s="53" t="n">
        <x:v>0</x:v>
      </x:c>
      <x:c r="I70" s="53" t="n">
        <x:v>1</x:v>
      </x:c>
      <x:c r="J70" s="53" t="n">
        <x:v>0</x:v>
      </x:c>
      <x:c r="K70" s="54" t="n">
        <x:f>MAX(0,G70-J70)</x:f>
        <x:v>0</x:v>
      </x:c>
      <x:c r="L70" s="54" t="n">
        <x:f>MAX(0,H70-J70)</x:f>
        <x:v>0</x:v>
      </x:c>
      <x:c r="M70" s="54" t="n">
        <x:f>MAX(0,I70-MAX(0,J70-H70))</x:f>
        <x:v>1</x:v>
      </x:c>
      <x:c r="N70" s="60"/>
      <x:c r="O70" s="61" t="str">
        <x:f>IF(N70="","",K70*N70)</x:f>
      </x:c>
      <x:c r="P70" s="61" t="str">
        <x:f>IF(N70="","",L70*N70)</x:f>
      </x:c>
      <x:c r="Q70" s="61" t="str">
        <x:f>IF(N70="","",M70*N70)</x:f>
      </x:c>
      <x:c r="R70" s="41" t="str">
        <x:v>可选升级</x:v>
      </x:c>
      <x:c r="S70" s="41"/>
      <x:c r="T70" s="66"/>
      <x:c r="U70" s="41" t="str">
        <x:v>用于远距离测距避障</x:v>
      </x:c>
    </x:row>
    <x:row r="71">
      <x:c r="A71" s="42" t="str">
        <x:v>CPI-UPG-007</x:v>
      </x:c>
      <x:c r="B71" s="42" t="str">
        <x:v>后续升级</x:v>
      </x:c>
      <x:c r="C71" s="42" t="str">
        <x:v>可选系统</x:v>
      </x:c>
      <x:c r="D71" s="42" t="str">
        <x:v>DVL水下速度计</x:v>
      </x:c>
      <x:c r="E71" s="42" t="str">
        <x:v>水下速度/里程推算 / 量程与接口待选</x:v>
      </x:c>
      <x:c r="F71" s="42" t="str">
        <x:v>套</x:v>
      </x:c>
      <x:c r="G71" s="55" t="n">
        <x:v>0</x:v>
      </x:c>
      <x:c r="H71" s="55" t="n">
        <x:v>0</x:v>
      </x:c>
      <x:c r="I71" s="55" t="n">
        <x:v>1</x:v>
      </x:c>
      <x:c r="J71" s="55" t="n">
        <x:v>0</x:v>
      </x:c>
      <x:c r="K71" s="54" t="n">
        <x:f>MAX(0,G71-J71)</x:f>
        <x:v>0</x:v>
      </x:c>
      <x:c r="L71" s="54" t="n">
        <x:f>MAX(0,H71-J71)</x:f>
        <x:v>0</x:v>
      </x:c>
      <x:c r="M71" s="54" t="n">
        <x:f>MAX(0,I71-MAX(0,J71-H71))</x:f>
        <x:v>1</x:v>
      </x:c>
      <x:c r="N71" s="62"/>
      <x:c r="O71" s="61" t="str">
        <x:f>IF(N71="","",K71*N71)</x:f>
      </x:c>
      <x:c r="P71" s="61" t="str">
        <x:f>IF(N71="","",L71*N71)</x:f>
      </x:c>
      <x:c r="Q71" s="61" t="str">
        <x:f>IF(N71="","",M71*N71)</x:f>
      </x:c>
      <x:c r="R71" s="42" t="str">
        <x:v>可选升级</x:v>
      </x:c>
      <x:c r="S71" s="42"/>
      <x:c r="T71" s="67"/>
      <x:c r="U71" s="42" t="str">
        <x:v>定位建图方案选配，成本较高</x:v>
      </x:c>
    </x:row>
    <x:row r="72">
      <x:c r="A72" s="41" t="str">
        <x:v>CPI-UPG-008</x:v>
      </x:c>
      <x:c r="B72" s="41" t="str">
        <x:v>后续升级</x:v>
      </x:c>
      <x:c r="C72" s="41" t="str">
        <x:v>可选系统</x:v>
      </x:c>
      <x:c r="D72" s="41" t="str">
        <x:v>水声定位系统</x:v>
      </x:c>
      <x:c r="E72" s="41" t="str">
        <x:v>USBL/LBL方案待论证</x:v>
      </x:c>
      <x:c r="F72" s="41" t="str">
        <x:v>套</x:v>
      </x:c>
      <x:c r="G72" s="53" t="n">
        <x:v>0</x:v>
      </x:c>
      <x:c r="H72" s="53" t="n">
        <x:v>0</x:v>
      </x:c>
      <x:c r="I72" s="53" t="n">
        <x:v>1</x:v>
      </x:c>
      <x:c r="J72" s="53" t="n">
        <x:v>0</x:v>
      </x:c>
      <x:c r="K72" s="54" t="n">
        <x:f>MAX(0,G72-J72)</x:f>
        <x:v>0</x:v>
      </x:c>
      <x:c r="L72" s="54" t="n">
        <x:f>MAX(0,H72-J72)</x:f>
        <x:v>0</x:v>
      </x:c>
      <x:c r="M72" s="54" t="n">
        <x:f>MAX(0,I72-MAX(0,J72-H72))</x:f>
        <x:v>1</x:v>
      </x:c>
      <x:c r="N72" s="60"/>
      <x:c r="O72" s="61" t="str">
        <x:f>IF(N72="","",K72*N72)</x:f>
      </x:c>
      <x:c r="P72" s="61" t="str">
        <x:f>IF(N72="","",L72*N72)</x:f>
      </x:c>
      <x:c r="Q72" s="61" t="str">
        <x:f>IF(N72="","",M72*N72)</x:f>
      </x:c>
      <x:c r="R72" s="41" t="str">
        <x:v>可选升级</x:v>
      </x:c>
      <x:c r="S72" s="41"/>
      <x:c r="T72" s="66"/>
      <x:c r="U72" s="41" t="str">
        <x:v>定位建图方案选配</x:v>
      </x:c>
    </x:row>
    <x:row r="73">
      <x:c r="A73" s="42" t="str">
        <x:v>CPI-UPG-009</x:v>
      </x:c>
      <x:c r="B73" s="42" t="str">
        <x:v>后续升级</x:v>
      </x:c>
      <x:c r="C73" s="42" t="str">
        <x:v>可选系统</x:v>
      </x:c>
      <x:c r="D73" s="42" t="str">
        <x:v>成像声呐</x:v>
      </x:c>
      <x:c r="E73" s="42" t="str">
        <x:v>水下建图 / 频率与量程待选</x:v>
      </x:c>
      <x:c r="F73" s="42" t="str">
        <x:v>套</x:v>
      </x:c>
      <x:c r="G73" s="55" t="n">
        <x:v>0</x:v>
      </x:c>
      <x:c r="H73" s="55" t="n">
        <x:v>0</x:v>
      </x:c>
      <x:c r="I73" s="55" t="n">
        <x:v>1</x:v>
      </x:c>
      <x:c r="J73" s="55" t="n">
        <x:v>0</x:v>
      </x:c>
      <x:c r="K73" s="54" t="n">
        <x:f>MAX(0,G73-J73)</x:f>
        <x:v>0</x:v>
      </x:c>
      <x:c r="L73" s="54" t="n">
        <x:f>MAX(0,H73-J73)</x:f>
        <x:v>0</x:v>
      </x:c>
      <x:c r="M73" s="54" t="n">
        <x:f>MAX(0,I73-MAX(0,J73-H73))</x:f>
        <x:v>1</x:v>
      </x:c>
      <x:c r="N73" s="62"/>
      <x:c r="O73" s="61" t="str">
        <x:f>IF(N73="","",K73*N73)</x:f>
      </x:c>
      <x:c r="P73" s="61" t="str">
        <x:f>IF(N73="","",L73*N73)</x:f>
      </x:c>
      <x:c r="Q73" s="61" t="str">
        <x:f>IF(N73="","",M73*N73)</x:f>
      </x:c>
      <x:c r="R73" s="42" t="str">
        <x:v>可选升级</x:v>
      </x:c>
      <x:c r="S73" s="42"/>
      <x:c r="T73" s="67"/>
      <x:c r="U73" s="42" t="str">
        <x:v>建图方案选配</x:v>
      </x:c>
    </x:row>
    <x:row r="74">
      <x:c r="A74" s="43" t="str">
        <x:v>CPI-UPG-010</x:v>
      </x:c>
      <x:c r="B74" s="43" t="str">
        <x:v>后续升级</x:v>
      </x:c>
      <x:c r="C74" s="43" t="str">
        <x:v>二级部件</x:v>
      </x:c>
      <x:c r="D74" s="43" t="str">
        <x:v>高速固态存储</x:v>
      </x:c>
      <x:c r="E74" s="43" t="str">
        <x:v>512GB / 高耐久</x:v>
      </x:c>
      <x:c r="F74" s="43" t="str">
        <x:v>块</x:v>
      </x:c>
      <x:c r="G74" s="56" t="n">
        <x:v>0</x:v>
      </x:c>
      <x:c r="H74" s="56" t="n">
        <x:v>0</x:v>
      </x:c>
      <x:c r="I74" s="56" t="n">
        <x:v>1</x:v>
      </x:c>
      <x:c r="J74" s="56" t="n">
        <x:v>0</x:v>
      </x:c>
      <x:c r="K74" s="57" t="n">
        <x:f>MAX(0,G74-J74)</x:f>
        <x:v>0</x:v>
      </x:c>
      <x:c r="L74" s="57" t="n">
        <x:f>MAX(0,H74-J74)</x:f>
        <x:v>0</x:v>
      </x:c>
      <x:c r="M74" s="57" t="n">
        <x:f>MAX(0,I74-MAX(0,J74-H74))</x:f>
        <x:v>1</x:v>
      </x:c>
      <x:c r="N74" s="63"/>
      <x:c r="O74" s="64" t="str">
        <x:f>IF(N74="","",K74*N74)</x:f>
      </x:c>
      <x:c r="P74" s="64" t="str">
        <x:f>IF(N74="","",L74*N74)</x:f>
      </x:c>
      <x:c r="Q74" s="64" t="str">
        <x:f>IF(N74="","",M74*N74)</x:f>
      </x:c>
      <x:c r="R74" s="43" t="str">
        <x:v>可选升级</x:v>
      </x:c>
      <x:c r="S74" s="43"/>
      <x:c r="T74" s="68"/>
      <x:c r="U74" s="43" t="str">
        <x:v>记录双摄像头与声呐数据</x:v>
      </x:c>
    </x:row>
  </x:sheetData>
  <x:mergeCells>
    <x:mergeCell ref="A1:U1"/>
    <x:mergeCell ref="A2:U2"/>
    <x:mergeCell ref="A3:C3"/>
    <x:mergeCell ref="A4:C4"/>
    <x:mergeCell ref="D3:F3"/>
    <x:mergeCell ref="D4:F4"/>
    <x:mergeCell ref="G3:I3"/>
    <x:mergeCell ref="G4:I4"/>
    <x:mergeCell ref="J3:L3"/>
    <x:mergeCell ref="J4:L4"/>
    <x:mergeCell ref="M3:U4"/>
  </x:mergeCells>
  <x:conditionalFormatting sqref="K7:M74">
    <x:cfRule type="cellIs" dxfId="0" priority="1" operator="greaterThan">
      <x:formula>0</x:formula>
    </x:cfRule>
  </x:conditionalFormatting>
  <x:conditionalFormatting sqref="R7:R74">
    <x:cfRule type="containsText" dxfId="1" priority="2" operator="containsText" text="待选型"/>
    <x:cfRule type="containsText" dxfId="2" priority="3" operator="containsText" text="已有"/>
  </x:conditionalFormatting>
  <x:dataValidations count="1">
    <x:dataValidation type="list" sqref="R7:R74">
      <x:formula1>"已有,部分已有,待购,待选型,可选升级"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82955fe5a64ae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3.130000114440918" hidden="0" customWidth="1"/>
    <x:col min="3" max="3" width="16.8799991607666" hidden="0" customWidth="1"/>
    <x:col min="4" max="4" width="14.380000114440918" hidden="0" customWidth="1"/>
    <x:col min="5" max="5" width="13.130000114440918" hidden="0" customWidth="1"/>
    <x:col min="6" max="6" width="16.8799991607666" hidden="0" customWidth="1"/>
    <x:col min="7" max="7" width="16.25" hidden="0" customWidth="1"/>
    <x:col min="8" max="8" width="16.25" hidden="0" customWidth="1"/>
    <x:col min="9" max="9" width="13.75" hidden="0" customWidth="1"/>
  </x:cols>
  <x:sheetData>
    <x:row r="1" ht="31.5" customHeight="1">
      <x:c r="A1" s="4" t="str">
        <x:v>CavePI 阶段采购汇总</x:v>
      </x:c>
      <x:c r="B1" s="4"/>
      <x:c r="C1" s="4"/>
      <x:c r="D1" s="4"/>
      <x:c r="E1" s="4"/>
      <x:c r="F1" s="4"/>
      <x:c r="G1" s="4"/>
      <x:c r="H1" s="4"/>
      <x:c r="I1" s="4"/>
    </x:row>
    <x:row r="2" ht="25.5" customHeight="1">
      <x:c r="A2" s="9" t="str">
        <x:v>调试版、第一版和后续升级的数量与采购缺口均自动引用BOM主表。跨单位数量合计仅用于规模参考。</x:v>
      </x:c>
      <x:c r="B2" s="9"/>
      <x:c r="C2" s="9"/>
      <x:c r="D2" s="9"/>
      <x:c r="E2" s="9"/>
      <x:c r="F2" s="9"/>
      <x:c r="G2" s="9"/>
      <x:c r="H2" s="9"/>
      <x:c r="I2" s="9"/>
    </x:row>
    <x:row r="4" ht="30" customHeight="1">
      <x:c r="A4" s="27" t="str">
        <x:v>阶段</x:v>
      </x:c>
      <x:c r="B4" s="27" t="str">
        <x:v>需求物料种类</x:v>
      </x:c>
      <x:c r="C4" s="27" t="str">
        <x:v>需求数量合计（混合单位）</x:v>
      </x:c>
      <x:c r="D4" s="27" t="str">
        <x:v>已有覆盖物料种类</x:v>
      </x:c>
      <x:c r="E4" s="27" t="str">
        <x:v>待购物料种类</x:v>
      </x:c>
      <x:c r="F4" s="27" t="str">
        <x:v>待购数量合计（混合单位）</x:v>
      </x:c>
      <x:c r="G4" s="27" t="str">
        <x:v>已知单价覆盖物料种类</x:v>
      </x:c>
      <x:c r="H4" s="27" t="str">
        <x:v>已知待购金额（元）</x:v>
      </x:c>
      <x:c r="I4" s="27" t="str">
        <x:v>待选型物料种类</x:v>
      </x:c>
    </x:row>
    <x:row r="5" ht="25.5" customHeight="1">
      <x:c r="A5" s="76" t="str">
        <x:v>调试版</x:v>
      </x:c>
      <x:c r="B5" s="78" t="n">
        <x:f>COUNTIF('BOM主表'!G7:G74,"&gt;0")</x:f>
        <x:v>57</x:v>
      </x:c>
      <x:c r="C5" s="78" t="n">
        <x:f>SUM('BOM主表'!G7:G74)</x:f>
        <x:v>193</x:v>
      </x:c>
      <x:c r="D5" s="78" t="n">
        <x:f>COUNTIFS('BOM主表'!G7:G74,"&gt;0",'BOM主表'!J7:J74,"&gt;0")</x:f>
        <x:v>29</x:v>
      </x:c>
      <x:c r="E5" s="78" t="n">
        <x:f>COUNTIF('BOM主表'!K7:K74,"&gt;0")</x:f>
        <x:v>28</x:v>
      </x:c>
      <x:c r="F5" s="78" t="n">
        <x:f>SUM('BOM主表'!K7:K74)</x:f>
        <x:v>84</x:v>
      </x:c>
      <x:c r="G5" s="78" t="n">
        <x:f>COUNTIFS('BOM主表'!G7:G74,"&gt;0",'BOM主表'!N7:N74,"&gt;0")</x:f>
        <x:v>29</x:v>
      </x:c>
      <x:c r="H5" s="81" t="n">
        <x:f>SUM('BOM主表'!O7:O74)</x:f>
        <x:v>0</x:v>
      </x:c>
      <x:c r="I5" s="76" t="n">
        <x:f>COUNTIFS('BOM主表'!G7:G74,"&gt;0",'BOM主表'!R7:R74,"待选型")</x:f>
        <x:v>28</x:v>
      </x:c>
    </x:row>
    <x:row r="6" ht="25.5" customHeight="1">
      <x:c r="A6" s="74" t="str">
        <x:v>第一版</x:v>
      </x:c>
      <x:c r="B6" s="79" t="n">
        <x:f>COUNTIF('BOM主表'!H7:H74,"&gt;0")</x:f>
        <x:v>54</x:v>
      </x:c>
      <x:c r="C6" s="79" t="n">
        <x:f>SUM('BOM主表'!H7:H74)</x:f>
        <x:v>277</x:v>
      </x:c>
      <x:c r="D6" s="79" t="n">
        <x:f>COUNTIFS('BOM主表'!H7:H74,"&gt;0",'BOM主表'!J7:J74,"&gt;0")</x:f>
        <x:v>28</x:v>
      </x:c>
      <x:c r="E6" s="79" t="n">
        <x:f>COUNTIF('BOM主表'!L7:L74,"&gt;0")</x:f>
        <x:v>29</x:v>
      </x:c>
      <x:c r="F6" s="79" t="n">
        <x:f>SUM('BOM主表'!L7:L74)</x:f>
        <x:v>93</x:v>
      </x:c>
      <x:c r="G6" s="79" t="n">
        <x:f>COUNTIFS('BOM主表'!H7:H74,"&gt;0",'BOM主表'!N7:N74,"&gt;0")</x:f>
        <x:v>28</x:v>
      </x:c>
      <x:c r="H6" s="82" t="n">
        <x:f>SUM('BOM主表'!P7:P74)</x:f>
        <x:v>1158</x:v>
      </x:c>
      <x:c r="I6" s="74" t="n">
        <x:f>COUNTIFS('BOM主表'!H7:H74,"&gt;0",'BOM主表'!R7:R74,"待选型")</x:f>
        <x:v>26</x:v>
      </x:c>
    </x:row>
    <x:row r="7" ht="25.5" customHeight="1">
      <x:c r="A7" s="77" t="str">
        <x:v>后续升级</x:v>
      </x:c>
      <x:c r="B7" s="80" t="n">
        <x:f>COUNTIF('BOM主表'!I7:I74,"&gt;0")</x:f>
        <x:v>28</x:v>
      </x:c>
      <x:c r="C7" s="80" t="n">
        <x:f>SUM('BOM主表'!I7:I74)</x:f>
        <x:v>84</x:v>
      </x:c>
      <x:c r="D7" s="80" t="n">
        <x:f>COUNTIFS('BOM主表'!I7:I74,"&gt;0",'BOM主表'!J7:J74,"&gt;0")</x:f>
        <x:v>13</x:v>
      </x:c>
      <x:c r="E7" s="80" t="n">
        <x:f>COUNTIF('BOM主表'!M7:M74,"&gt;0")</x:f>
        <x:v>17</x:v>
      </x:c>
      <x:c r="F7" s="80" t="n">
        <x:f>SUM('BOM主表'!M7:M74)</x:f>
        <x:v>22</x:v>
      </x:c>
      <x:c r="G7" s="80" t="n">
        <x:f>COUNTIFS('BOM主表'!I7:I74,"&gt;0",'BOM主表'!N7:N74,"&gt;0")</x:f>
        <x:v>13</x:v>
      </x:c>
      <x:c r="H7" s="83" t="n">
        <x:f>SUM('BOM主表'!Q7:Q74)</x:f>
        <x:v>20.78</x:v>
      </x:c>
      <x:c r="I7" s="77" t="n">
        <x:f>COUNTIFS('BOM主表'!I7:I74,"&gt;0",'BOM主表'!R7:R74,"待选型")</x:f>
        <x:v>5</x:v>
      </x:c>
    </x:row>
    <x:row r="9">
      <x:c r="A9" s="21" t="str">
        <x:v>来源核对：采购清单共57类、74件，采购总额4202.81元；资产清单中运费、快递费与打包费未纳入资产。本表只匹配机器人本体与装配耗材。</x:v>
      </x:c>
      <x:c r="B9" s="21"/>
      <x:c r="C9" s="21"/>
      <x:c r="D9" s="21"/>
      <x:c r="E9" s="21"/>
      <x:c r="F9" s="21"/>
      <x:c r="G9" s="21"/>
      <x:c r="H9" s="21"/>
      <x:c r="I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</x:row>
  </x:sheetData>
  <x:mergeCells>
    <x:mergeCell ref="A1:I1"/>
    <x:mergeCell ref="A2:I2"/>
    <x:mergeCell ref="A9:I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799991607666" hidden="0" customWidth="1"/>
    <x:col min="2" max="2" width="11.25" hidden="0" customWidth="1"/>
    <x:col min="3" max="3" width="11.25" hidden="0" customWidth="1"/>
    <x:col min="4" max="4" width="22.5" hidden="0" customWidth="1"/>
    <x:col min="5" max="5" width="28.75" hidden="0" customWidth="1"/>
    <x:col min="6" max="6" width="9.380000114440918" hidden="0" customWidth="1"/>
    <x:col min="7" max="7" width="10.25" hidden="0" customWidth="1"/>
    <x:col min="8" max="8" width="11.25" hidden="0" customWidth="1"/>
    <x:col min="9" max="9" width="11.880000114440918" hidden="0" customWidth="1"/>
    <x:col min="10" max="10" width="21.25" hidden="0" customWidth="1"/>
    <x:col min="11" max="11" width="22.5" hidden="0" customWidth="1"/>
    <x:col min="12" max="12" width="19.3799991607666" hidden="0" customWidth="1"/>
    <x:col min="13" max="13" width="33.75" hidden="0" customWidth="1"/>
  </x:cols>
  <x:sheetData>
    <x:row r="1" ht="31.5" customHeight="1">
      <x:c r="A1" s="4" t="str">
        <x:v>现有资产与 CavePI BOM 匹配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5.5" customHeight="1">
      <x:c r="A2" s="9" t="str">
        <x:v>逐条保留资产清单来源。匹配结论用于库存识别，不改变原资产记录；通用工具和非本体费用不计入单台BOM。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5" ht="30" customHeight="1">
      <x:c r="A5" s="27" t="str">
        <x:v>资产编号</x:v>
      </x:c>
      <x:c r="B5" s="27" t="str">
        <x:v>管理类别</x:v>
      </x:c>
      <x:c r="C5" s="27" t="str">
        <x:v>资产属性</x:v>
      </x:c>
      <x:c r="D5" s="27" t="str">
        <x:v>资产名称</x:v>
      </x:c>
      <x:c r="E5" s="27" t="str">
        <x:v>规格/型号</x:v>
      </x:c>
      <x:c r="F5" s="27" t="str">
        <x:v>采购数量</x:v>
      </x:c>
      <x:c r="G5" s="27" t="str">
        <x:v>单价（元）</x:v>
      </x:c>
      <x:c r="H5" s="27" t="str">
        <x:v>资产原值（元）</x:v>
      </x:c>
      <x:c r="I5" s="27" t="str">
        <x:v>购置日期</x:v>
      </x:c>
      <x:c r="J5" s="27" t="str">
        <x:v>供应商/店铺</x:v>
      </x:c>
      <x:c r="K5" s="27" t="str">
        <x:v>匹配BOM编码</x:v>
      </x:c>
      <x:c r="L5" s="27" t="str">
        <x:v>匹配结论</x:v>
      </x:c>
      <x:c r="M5" s="27" t="str">
        <x:v>说明</x:v>
      </x:c>
    </x:row>
    <x:row r="6">
      <x:c r="A6" s="35" t="str">
        <x:v>ZC-20260713-001</x:v>
      </x:c>
      <x:c r="B6" s="35" t="str">
        <x:v>材料耗材</x:v>
      </x:c>
      <x:c r="C6" s="35" t="str">
        <x:v>低值易耗品</x:v>
      </x:c>
      <x:c r="D6" s="40" t="str">
        <x:v>绿林高纯度锡丝</x:v>
      </x:c>
      <x:c r="E6" s="40" t="str">
        <x:v>自带松香/无铅低温</x:v>
      </x:c>
      <x:c r="F6" s="86" t="n">
        <x:v>1</x:v>
      </x:c>
      <x:c r="G6" s="90" t="n">
        <x:v>15.8</x:v>
      </x:c>
      <x:c r="H6" s="90" t="n">
        <x:v>15.8</x:v>
      </x:c>
      <x:c r="I6" s="94" t="n">
        <x:v>46216</x:v>
      </x:c>
      <x:c r="J6" s="35" t="str">
        <x:v>绿林官方旗舰店</x:v>
      </x:c>
      <x:c r="K6" s="40" t="str">
        <x:v>CPI-CONS-013</x:v>
      </x:c>
      <x:c r="L6" s="40" t="str">
        <x:v>装配耗材</x:v>
      </x:c>
      <x:c r="M6" s="40"/>
    </x:row>
    <x:row r="7">
      <x:c r="A7" s="33" t="str">
        <x:v>ZC-20260713-002</x:v>
      </x:c>
      <x:c r="B7" s="33" t="str">
        <x:v>材料耗材</x:v>
      </x:c>
      <x:c r="C7" s="33" t="str">
        <x:v>低值易耗品</x:v>
      </x:c>
      <x:c r="D7" s="41" t="str">
        <x:v>绿林烙铁头（刀头）</x:v>
      </x:c>
      <x:c r="E7" s="41" t="str">
        <x:v>通用936内热式</x:v>
      </x:c>
      <x:c r="F7" s="87" t="n">
        <x:v>4</x:v>
      </x:c>
      <x:c r="G7" s="91" t="n">
        <x:v>2.61</x:v>
      </x:c>
      <x:c r="H7" s="91" t="n">
        <x:v>10.44</x:v>
      </x:c>
      <x:c r="I7" s="95" t="n">
        <x:v>46216</x:v>
      </x:c>
      <x:c r="J7" s="33" t="str">
        <x:v>绿林官方旗舰店</x:v>
      </x:c>
      <x:c r="K7" s="41"/>
      <x:c r="L7" s="41" t="str">
        <x:v>通用工具不纳入</x:v>
      </x:c>
      <x:c r="M7" s="41" t="str">
        <x:v>用于装配或调试，不计入单台机器人</x:v>
      </x:c>
    </x:row>
    <x:row r="8">
      <x:c r="A8" s="36" t="str">
        <x:v>ZC-20260713-003</x:v>
      </x:c>
      <x:c r="B8" s="36" t="str">
        <x:v>工具器具</x:v>
      </x:c>
      <x:c r="C8" s="36" t="str">
        <x:v>可周转资产</x:v>
      </x:c>
      <x:c r="D8" s="42" t="str">
        <x:v>绿林电烙铁</x:v>
      </x:c>
      <x:c r="E8" s="42" t="str">
        <x:v>60W可调温</x:v>
      </x:c>
      <x:c r="F8" s="88" t="n">
        <x:v>1</x:v>
      </x:c>
      <x:c r="G8" s="92" t="n">
        <x:v>25.8</x:v>
      </x:c>
      <x:c r="H8" s="92" t="n">
        <x:v>25.8</x:v>
      </x:c>
      <x:c r="I8" s="96" t="n">
        <x:v>46216</x:v>
      </x:c>
      <x:c r="J8" s="36" t="str">
        <x:v>绿林官方旗舰店</x:v>
      </x:c>
      <x:c r="K8" s="42"/>
      <x:c r="L8" s="42" t="str">
        <x:v>通用工具不纳入</x:v>
      </x:c>
      <x:c r="M8" s="42" t="str">
        <x:v>用于装配或调试，不计入单台机器人</x:v>
      </x:c>
    </x:row>
    <x:row r="9">
      <x:c r="A9" s="33" t="str">
        <x:v>ZC-20260713-004</x:v>
      </x:c>
      <x:c r="B9" s="33" t="str">
        <x:v>设备及装置</x:v>
      </x:c>
      <x:c r="C9" s="33" t="str">
        <x:v>可周转资产</x:v>
      </x:c>
      <x:c r="D9" s="41" t="str">
        <x:v>80W航模平衡充电器</x:v>
      </x:c>
      <x:c r="E9" s="41" t="str">
        <x:v>BT2.0第3版/支持1-6S</x:v>
      </x:c>
      <x:c r="F9" s="87" t="n">
        <x:v>1</x:v>
      </x:c>
      <x:c r="G9" s="91" t="n">
        <x:v>149.9</x:v>
      </x:c>
      <x:c r="H9" s="91" t="n">
        <x:v>149.9</x:v>
      </x:c>
      <x:c r="I9" s="95" t="n">
        <x:v>46216</x:v>
      </x:c>
      <x:c r="J9" s="33" t="str">
        <x:v>零轴电子科技企业店</x:v>
      </x:c>
      <x:c r="K9" s="41"/>
      <x:c r="L9" s="41" t="str">
        <x:v>通用工具不纳入</x:v>
      </x:c>
      <x:c r="M9" s="41" t="str">
        <x:v>用于装配或调试，不计入单台机器人</x:v>
      </x:c>
    </x:row>
    <x:row r="10">
      <x:c r="A10" s="36" t="str">
        <x:v>ZC-20260713-005</x:v>
      </x:c>
      <x:c r="B10" s="36" t="str">
        <x:v>电子元器件</x:v>
      </x:c>
      <x:c r="C10" s="36" t="str">
        <x:v>项目组件</x:v>
      </x:c>
      <x:c r="D10" s="42" t="str">
        <x:v>XT60 Hub分电板</x:v>
      </x:c>
      <x:c r="E10" s="42" t="str">
        <x:v>一拖四扩展板/集线器</x:v>
      </x:c>
      <x:c r="F10" s="88" t="n">
        <x:v>1</x:v>
      </x:c>
      <x:c r="G10" s="92" t="n">
        <x:v>29.9</x:v>
      </x:c>
      <x:c r="H10" s="92" t="n">
        <x:v>29.9</x:v>
      </x:c>
      <x:c r="I10" s="96" t="n">
        <x:v>46216</x:v>
      </x:c>
      <x:c r="J10" s="36" t="str">
        <x:v>Autoro电子科技</x:v>
      </x:c>
      <x:c r="K10" s="42" t="str">
        <x:v>CPI-POWER-001</x:v>
      </x:c>
      <x:c r="L10" s="42" t="str">
        <x:v>直接使用</x:v>
      </x:c>
      <x:c r="M10" s="42" t="str">
        <x:v>原备注：14</x:v>
      </x:c>
    </x:row>
    <x:row r="11">
      <x:c r="A11" s="33" t="str">
        <x:v>ZC-20260713-006</x:v>
      </x:c>
      <x:c r="B11" s="33" t="str">
        <x:v>电子元器件</x:v>
      </x:c>
      <x:c r="C11" s="33" t="str">
        <x:v>项目组件</x:v>
      </x:c>
      <x:c r="D11" s="41" t="str">
        <x:v>博立方电源模块</x:v>
      </x:c>
      <x:c r="E11" s="41" t="str">
        <x:v>支持2S-12S/带5.3V BEC/XT60</x:v>
      </x:c>
      <x:c r="F11" s="87" t="n">
        <x:v>1</x:v>
      </x:c>
      <x:c r="G11" s="91" t="n">
        <x:v>71.24</x:v>
      </x:c>
      <x:c r="H11" s="91" t="n">
        <x:v>71.24</x:v>
      </x:c>
      <x:c r="I11" s="95" t="n">
        <x:v>46216</x:v>
      </x:c>
      <x:c r="J11" s="33" t="str">
        <x:v>博立方无人机企业店</x:v>
      </x:c>
      <x:c r="K11" s="41" t="str">
        <x:v>CPI-POWER-002</x:v>
      </x:c>
      <x:c r="L11" s="41" t="str">
        <x:v>直接使用</x:v>
      </x:c>
      <x:c r="M11" s="41" t="str">
        <x:v>原备注：14</x:v>
      </x:c>
    </x:row>
    <x:row r="12">
      <x:c r="A12" s="36" t="str">
        <x:v>ZC-20260713-007</x:v>
      </x:c>
      <x:c r="B12" s="36" t="str">
        <x:v>设备及装置</x:v>
      </x:c>
      <x:c r="C12" s="36" t="str">
        <x:v>可周转资产</x:v>
      </x:c>
      <x:c r="D12" s="42" t="str">
        <x:v>航模锂电池</x:v>
      </x:c>
      <x:c r="E12" s="42" t="str">
        <x:v>14.8V 5000mAh 长条</x:v>
      </x:c>
      <x:c r="F12" s="88" t="n">
        <x:v>1</x:v>
      </x:c>
      <x:c r="G12" s="92" t="n">
        <x:v>74.82</x:v>
      </x:c>
      <x:c r="H12" s="92" t="n">
        <x:v>74.82</x:v>
      </x:c>
      <x:c r="I12" s="96" t="n">
        <x:v>46216</x:v>
      </x:c>
      <x:c r="J12" s="36" t="str">
        <x:v>阳河科技</x:v>
      </x:c>
      <x:c r="K12" s="42" t="str">
        <x:v>CPI-POWER-006</x:v>
      </x:c>
      <x:c r="L12" s="42" t="str">
        <x:v>直接使用</x:v>
      </x:c>
      <x:c r="M12" s="42" t="str">
        <x:v>5000mAh仅做调试使用，后续再选择大容量电池</x:v>
      </x:c>
    </x:row>
    <x:row r="13">
      <x:c r="A13" s="33" t="str">
        <x:v>ZC-20260713-008</x:v>
      </x:c>
      <x:c r="B13" s="33" t="str">
        <x:v>仪器仪表</x:v>
      </x:c>
      <x:c r="C13" s="33" t="str">
        <x:v>可周转资产</x:v>
      </x:c>
      <x:c r="D13" s="41" t="str">
        <x:v>水下测距传感器</x:v>
      </x:c>
      <x:c r="E13" s="41" t="str">
        <x:v>3米量程/8-800cm</x:v>
      </x:c>
      <x:c r="F13" s="87" t="n">
        <x:v>1</x:v>
      </x:c>
      <x:c r="G13" s="91" t="n">
        <x:v>103</x:v>
      </x:c>
      <x:c r="H13" s="91" t="n">
        <x:v>103</x:v>
      </x:c>
      <x:c r="I13" s="95" t="n">
        <x:v>46216</x:v>
      </x:c>
      <x:c r="J13" s="33" t="str">
        <x:v>深圳市电应普科技</x:v>
      </x:c>
      <x:c r="K13" s="41" t="str">
        <x:v>CPI-SENS-002</x:v>
      </x:c>
      <x:c r="L13" s="41" t="str">
        <x:v>直接使用</x:v>
      </x:c>
      <x:c r="M13" s="41" t="str">
        <x:v>原备注：14</x:v>
      </x:c>
    </x:row>
    <x:row r="14">
      <x:c r="A14" s="36" t="str">
        <x:v>ZC-20260713-009</x:v>
      </x:c>
      <x:c r="B14" s="36" t="str">
        <x:v>设备及装置</x:v>
      </x:c>
      <x:c r="C14" s="36" t="str">
        <x:v>可周转资产</x:v>
      </x:c>
      <x:c r="D14" s="42" t="str">
        <x:v>TS60水下推进器</x:v>
      </x:c>
      <x:c r="E14" s="42" t="str">
        <x:v>蓝黑500/12V</x:v>
      </x:c>
      <x:c r="F14" s="88" t="n">
        <x:v>1</x:v>
      </x:c>
      <x:c r="G14" s="92" t="n">
        <x:v>189</x:v>
      </x:c>
      <x:c r="H14" s="92" t="n">
        <x:v>189</x:v>
      </x:c>
      <x:c r="I14" s="96" t="n">
        <x:v>46216</x:v>
      </x:c>
      <x:c r="J14" s="36" t="str">
        <x:v>淘宝店铺</x:v>
      </x:c>
      <x:c r="K14" s="42" t="str">
        <x:v>CPI-PROP-001</x:v>
      </x:c>
      <x:c r="L14" s="42" t="str">
        <x:v>部分使用</x:v>
      </x:c>
      <x:c r="M14" s="42" t="str">
        <x:v>现有数量不足第一版需求，缺口见BOM主表</x:v>
      </x:c>
    </x:row>
    <x:row r="15">
      <x:c r="A15" s="33" t="str">
        <x:v>ZC-20260713-010</x:v>
      </x:c>
      <x:c r="B15" s="33" t="str">
        <x:v>仪器仪表</x:v>
      </x:c>
      <x:c r="C15" s="33" t="str">
        <x:v>可周转资产</x:v>
      </x:c>
      <x:c r="D15" s="41" t="str">
        <x:v>深度计</x:v>
      </x:c>
      <x:c r="E15" s="41" t="str">
        <x:v>MS5837-30Ba TB30</x:v>
      </x:c>
      <x:c r="F15" s="87" t="n">
        <x:v>1</x:v>
      </x:c>
      <x:c r="G15" s="91" t="n">
        <x:v>199</x:v>
      </x:c>
      <x:c r="H15" s="91" t="n">
        <x:v>199</x:v>
      </x:c>
      <x:c r="I15" s="95" t="n">
        <x:v>46216</x:v>
      </x:c>
      <x:c r="J15" s="33" t="str">
        <x:v>淘宝店铺</x:v>
      </x:c>
      <x:c r="K15" s="41" t="str">
        <x:v>CPI-SENS-001</x:v>
      </x:c>
      <x:c r="L15" s="41" t="str">
        <x:v>直接使用</x:v>
      </x:c>
      <x:c r="M15" s="41"/>
    </x:row>
    <x:row r="16">
      <x:c r="A16" s="36" t="str">
        <x:v>ZC-20260713-011</x:v>
      </x:c>
      <x:c r="B16" s="36" t="str">
        <x:v>设备及装置</x:v>
      </x:c>
      <x:c r="C16" s="36" t="str">
        <x:v>可周转资产</x:v>
      </x:c>
      <x:c r="D16" s="42" t="str">
        <x:v>双向无刷电机电调</x:v>
      </x:c>
      <x:c r="E16" s="42" t="str">
        <x:v>35A水下动力</x:v>
      </x:c>
      <x:c r="F16" s="88" t="n">
        <x:v>1</x:v>
      </x:c>
      <x:c r="G16" s="92" t="n">
        <x:v>95</x:v>
      </x:c>
      <x:c r="H16" s="92" t="n">
        <x:v>95</x:v>
      </x:c>
      <x:c r="I16" s="96" t="n">
        <x:v>46216</x:v>
      </x:c>
      <x:c r="J16" s="36" t="str">
        <x:v>淘宝店铺</x:v>
      </x:c>
      <x:c r="K16" s="42" t="str">
        <x:v>CPI-PROP-002</x:v>
      </x:c>
      <x:c r="L16" s="42" t="str">
        <x:v>部分使用</x:v>
      </x:c>
      <x:c r="M16" s="42" t="str">
        <x:v>现有数量不足第一版需求，缺口见BOM主表</x:v>
      </x:c>
    </x:row>
    <x:row r="17">
      <x:c r="A17" s="33" t="str">
        <x:v>ZC-20260713-012</x:v>
      </x:c>
      <x:c r="B17" s="33" t="str">
        <x:v>设备及装置</x:v>
      </x:c>
      <x:c r="C17" s="33" t="str">
        <x:v>可周转资产</x:v>
      </x:c>
      <x:c r="D17" s="41" t="str">
        <x:v>树莓派4B开发板</x:v>
      </x:c>
      <x:c r="E17" s="41" t="str">
        <x:v>4B/4G基础套餐</x:v>
      </x:c>
      <x:c r="F17" s="87" t="n">
        <x:v>1</x:v>
      </x:c>
      <x:c r="G17" s="91" t="n">
        <x:v>1511.21</x:v>
      </x:c>
      <x:c r="H17" s="91" t="n">
        <x:v>1511.21</x:v>
      </x:c>
      <x:c r="I17" s="95" t="n">
        <x:v>46216</x:v>
      </x:c>
      <x:c r="J17" s="33" t="str">
        <x:v>淘宝店铺</x:v>
      </x:c>
      <x:c r="K17" s="41" t="str">
        <x:v>CPI-CTRL-001</x:v>
      </x:c>
      <x:c r="L17" s="41" t="str">
        <x:v>直接使用</x:v>
      </x:c>
      <x:c r="M17" s="41"/>
    </x:row>
    <x:row r="18">
      <x:c r="A18" s="36" t="str">
        <x:v>ZC-20260713-013</x:v>
      </x:c>
      <x:c r="B18" s="36" t="str">
        <x:v>设备及装置</x:v>
      </x:c>
      <x:c r="C18" s="36" t="str">
        <x:v>可周转资产</x:v>
      </x:c>
      <x:c r="D18" s="42" t="str">
        <x:v>Pixhawk 2.4.8飞控</x:v>
      </x:c>
      <x:c r="E18" s="42" t="str">
        <x:v>无GPS/刷好Ardusub</x:v>
      </x:c>
      <x:c r="F18" s="88" t="n">
        <x:v>1</x:v>
      </x:c>
      <x:c r="G18" s="92" t="n">
        <x:v>599</x:v>
      </x:c>
      <x:c r="H18" s="92" t="n">
        <x:v>599</x:v>
      </x:c>
      <x:c r="I18" s="96" t="n">
        <x:v>46216</x:v>
      </x:c>
      <x:c r="J18" s="36" t="str">
        <x:v>初将科技</x:v>
      </x:c>
      <x:c r="K18" s="42" t="str">
        <x:v>CPI-CTRL-002</x:v>
      </x:c>
      <x:c r="L18" s="42" t="str">
        <x:v>直接使用</x:v>
      </x:c>
      <x:c r="M18" s="42"/>
    </x:row>
    <x:row r="19">
      <x:c r="A19" s="33" t="str">
        <x:v>ZC-20260721-001</x:v>
      </x:c>
      <x:c r="B19" s="33" t="str">
        <x:v>工具器具</x:v>
      </x:c>
      <x:c r="C19" s="33" t="str">
        <x:v>可周转资产</x:v>
      </x:c>
      <x:c r="D19" s="41" t="str">
        <x:v>德力西小螺丝刀套装</x:v>
      </x:c>
      <x:c r="E19" s="41" t="str">
        <x:v>45合一/S2+CR-V材质</x:v>
      </x:c>
      <x:c r="F19" s="87" t="n">
        <x:v>1</x:v>
      </x:c>
      <x:c r="G19" s="91" t="n">
        <x:v>27.7</x:v>
      </x:c>
      <x:c r="H19" s="91" t="n">
        <x:v>27.7</x:v>
      </x:c>
      <x:c r="I19" s="95" t="n">
        <x:v>46224</x:v>
      </x:c>
      <x:c r="J19" s="33" t="str">
        <x:v>德力西手动工具旗舰店</x:v>
      </x:c>
      <x:c r="K19" s="41"/>
      <x:c r="L19" s="41" t="str">
        <x:v>通用工具不纳入</x:v>
      </x:c>
      <x:c r="M19" s="41" t="str">
        <x:v>用于装配或调试，不计入单台机器人</x:v>
      </x:c>
    </x:row>
    <x:row r="20">
      <x:c r="A20" s="36" t="str">
        <x:v>ZC-20260722-001</x:v>
      </x:c>
      <x:c r="B20" s="36" t="str">
        <x:v>材料耗材</x:v>
      </x:c>
      <x:c r="C20" s="36" t="str">
        <x:v>低值易耗品</x:v>
      </x:c>
      <x:c r="D20" s="42" t="str">
        <x:v>单头六角铜柱</x:v>
      </x:c>
      <x:c r="E20" s="42" t="str">
        <x:v>M3×12+3/50支</x:v>
      </x:c>
      <x:c r="F20" s="88" t="n">
        <x:v>1</x:v>
      </x:c>
      <x:c r="G20" s="92" t="n">
        <x:v>8.41</x:v>
      </x:c>
      <x:c r="H20" s="92" t="n">
        <x:v>8.41</x:v>
      </x:c>
      <x:c r="I20" s="96" t="n">
        <x:v>46225</x:v>
      </x:c>
      <x:c r="J20" s="36" t="str">
        <x:v>固万基官方旗舰店</x:v>
      </x:c>
      <x:c r="K20" s="42" t="str">
        <x:v>CPI-CONS-008</x:v>
      </x:c>
      <x:c r="L20" s="42" t="str">
        <x:v>装配耗材</x:v>
      </x:c>
      <x:c r="M20" s="42" t="str">
        <x:v>确认订单优惠后价格</x:v>
      </x:c>
    </x:row>
    <x:row r="21">
      <x:c r="A21" s="33" t="str">
        <x:v>ZC-20260722-002</x:v>
      </x:c>
      <x:c r="B21" s="33" t="str">
        <x:v>材料耗材</x:v>
      </x:c>
      <x:c r="C21" s="33" t="str">
        <x:v>低值易耗品</x:v>
      </x:c>
      <x:c r="D21" s="41" t="str">
        <x:v>单头六角铜柱</x:v>
      </x:c>
      <x:c r="E21" s="41" t="str">
        <x:v>M3×6+3/100支</x:v>
      </x:c>
      <x:c r="F21" s="87" t="n">
        <x:v>1</x:v>
      </x:c>
      <x:c r="G21" s="91" t="n">
        <x:v>10.93</x:v>
      </x:c>
      <x:c r="H21" s="91" t="n">
        <x:v>10.93</x:v>
      </x:c>
      <x:c r="I21" s="95" t="n">
        <x:v>46225</x:v>
      </x:c>
      <x:c r="J21" s="33" t="str">
        <x:v>固万基官方旗舰店</x:v>
      </x:c>
      <x:c r="K21" s="41"/>
      <x:c r="L21" s="41" t="str">
        <x:v>非本体采购不纳入</x:v>
      </x:c>
      <x:c r="M21" s="41" t="str">
        <x:v>确认订单优惠后价格</x:v>
      </x:c>
    </x:row>
    <x:row r="22">
      <x:c r="A22" s="36" t="str">
        <x:v>ZC-20260722-003</x:v>
      </x:c>
      <x:c r="B22" s="36" t="str">
        <x:v>材料耗材</x:v>
      </x:c>
      <x:c r="C22" s="36" t="str">
        <x:v>低值易耗品</x:v>
      </x:c>
      <x:c r="D22" s="42" t="str">
        <x:v>单头六角铜柱</x:v>
      </x:c>
      <x:c r="E22" s="42" t="str">
        <x:v>M3×15+3/50支</x:v>
      </x:c>
      <x:c r="F22" s="88" t="n">
        <x:v>1</x:v>
      </x:c>
      <x:c r="G22" s="92" t="n">
        <x:v>10.93</x:v>
      </x:c>
      <x:c r="H22" s="92" t="n">
        <x:v>10.93</x:v>
      </x:c>
      <x:c r="I22" s="96" t="n">
        <x:v>46225</x:v>
      </x:c>
      <x:c r="J22" s="36" t="str">
        <x:v>固万基官方旗舰店</x:v>
      </x:c>
      <x:c r="K22" s="42"/>
      <x:c r="L22" s="42" t="str">
        <x:v>非本体采购不纳入</x:v>
      </x:c>
      <x:c r="M22" s="42" t="str">
        <x:v>确认订单优惠后价格</x:v>
      </x:c>
    </x:row>
    <x:row r="23">
      <x:c r="A23" s="33" t="str">
        <x:v>ZC-20260722-004</x:v>
      </x:c>
      <x:c r="B23" s="33" t="str">
        <x:v>材料耗材</x:v>
      </x:c>
      <x:c r="C23" s="33" t="str">
        <x:v>低值易耗品</x:v>
      </x:c>
      <x:c r="D23" s="41" t="str">
        <x:v>单头六角铜柱</x:v>
      </x:c>
      <x:c r="E23" s="41" t="str">
        <x:v>M3×20+3/50支</x:v>
      </x:c>
      <x:c r="F23" s="87" t="n">
        <x:v>1</x:v>
      </x:c>
      <x:c r="G23" s="91" t="n">
        <x:v>12.46</x:v>
      </x:c>
      <x:c r="H23" s="91" t="n">
        <x:v>12.46</x:v>
      </x:c>
      <x:c r="I23" s="95" t="n">
        <x:v>46225</x:v>
      </x:c>
      <x:c r="J23" s="33" t="str">
        <x:v>固万基官方旗舰店</x:v>
      </x:c>
      <x:c r="K23" s="41" t="str">
        <x:v>CPI-CONS-009</x:v>
      </x:c>
      <x:c r="L23" s="41" t="str">
        <x:v>装配耗材</x:v>
      </x:c>
      <x:c r="M23" s="41" t="str">
        <x:v>确认订单优惠后价格</x:v>
      </x:c>
    </x:row>
    <x:row r="24">
      <x:c r="A24" s="36" t="str">
        <x:v>ZC-20260722-005</x:v>
      </x:c>
      <x:c r="B24" s="36" t="str">
        <x:v>材料耗材</x:v>
      </x:c>
      <x:c r="C24" s="36" t="str">
        <x:v>低值易耗品</x:v>
      </x:c>
      <x:c r="D24" s="42" t="str">
        <x:v>304不锈钢平垫圈</x:v>
      </x:c>
      <x:c r="E24" s="42" t="str">
        <x:v>M5×8×0.5/200只</x:v>
      </x:c>
      <x:c r="F24" s="88" t="n">
        <x:v>1</x:v>
      </x:c>
      <x:c r="G24" s="92" t="n">
        <x:v>4.04</x:v>
      </x:c>
      <x:c r="H24" s="92" t="n">
        <x:v>4.04</x:v>
      </x:c>
      <x:c r="I24" s="96" t="n">
        <x:v>46225</x:v>
      </x:c>
      <x:c r="J24" s="36" t="str">
        <x:v>固万基官方旗舰店</x:v>
      </x:c>
      <x:c r="K24" s="42"/>
      <x:c r="L24" s="42" t="str">
        <x:v>非本体采购不纳入</x:v>
      </x:c>
      <x:c r="M24" s="42" t="str">
        <x:v>确认订单优惠后价格</x:v>
      </x:c>
    </x:row>
    <x:row r="25">
      <x:c r="A25" s="33" t="str">
        <x:v>ZC-20260722-006</x:v>
      </x:c>
      <x:c r="B25" s="33" t="str">
        <x:v>材料耗材</x:v>
      </x:c>
      <x:c r="C25" s="33" t="str">
        <x:v>低值易耗品</x:v>
      </x:c>
      <x:c r="D25" s="41" t="str">
        <x:v>304不锈钢平垫圈</x:v>
      </x:c>
      <x:c r="E25" s="41" t="str">
        <x:v>M4×7×0.5/200只</x:v>
      </x:c>
      <x:c r="F25" s="87" t="n">
        <x:v>1</x:v>
      </x:c>
      <x:c r="G25" s="91" t="n">
        <x:v>3.19</x:v>
      </x:c>
      <x:c r="H25" s="91" t="n">
        <x:v>3.19</x:v>
      </x:c>
      <x:c r="I25" s="95" t="n">
        <x:v>46225</x:v>
      </x:c>
      <x:c r="J25" s="33" t="str">
        <x:v>固万基官方旗舰店</x:v>
      </x:c>
      <x:c r="K25" s="41"/>
      <x:c r="L25" s="41" t="str">
        <x:v>非本体采购不纳入</x:v>
      </x:c>
      <x:c r="M25" s="41" t="str">
        <x:v>确认订单优惠后价格</x:v>
      </x:c>
    </x:row>
    <x:row r="26">
      <x:c r="A26" s="36" t="str">
        <x:v>ZC-20260722-007</x:v>
      </x:c>
      <x:c r="B26" s="36" t="str">
        <x:v>材料耗材</x:v>
      </x:c>
      <x:c r="C26" s="36" t="str">
        <x:v>低值易耗品</x:v>
      </x:c>
      <x:c r="D26" s="42" t="str">
        <x:v>304不锈钢平垫圈</x:v>
      </x:c>
      <x:c r="E26" s="42" t="str">
        <x:v>M3×6×0.5/200只</x:v>
      </x:c>
      <x:c r="F26" s="88" t="n">
        <x:v>1</x:v>
      </x:c>
      <x:c r="G26" s="92" t="n">
        <x:v>3.19</x:v>
      </x:c>
      <x:c r="H26" s="92" t="n">
        <x:v>3.19</x:v>
      </x:c>
      <x:c r="I26" s="96" t="n">
        <x:v>46225</x:v>
      </x:c>
      <x:c r="J26" s="36" t="str">
        <x:v>固万基官方旗舰店</x:v>
      </x:c>
      <x:c r="K26" s="42" t="str">
        <x:v>CPI-CONS-007</x:v>
      </x:c>
      <x:c r="L26" s="42" t="str">
        <x:v>装配耗材</x:v>
      </x:c>
      <x:c r="M26" s="42" t="str">
        <x:v>确认订单优惠后价格</x:v>
      </x:c>
    </x:row>
    <x:row r="27">
      <x:c r="A27" s="33" t="str">
        <x:v>ZC-20260722-008</x:v>
      </x:c>
      <x:c r="B27" s="33" t="str">
        <x:v>材料耗材</x:v>
      </x:c>
      <x:c r="C27" s="33" t="str">
        <x:v>低值易耗品</x:v>
      </x:c>
      <x:c r="D27" s="41" t="str">
        <x:v>单头六角铜柱</x:v>
      </x:c>
      <x:c r="E27" s="41" t="str">
        <x:v>M3×100+6/5支</x:v>
      </x:c>
      <x:c r="F27" s="87" t="n">
        <x:v>1</x:v>
      </x:c>
      <x:c r="G27" s="91" t="n">
        <x:v>9.46</x:v>
      </x:c>
      <x:c r="H27" s="91" t="n">
        <x:v>9.46</x:v>
      </x:c>
      <x:c r="I27" s="95" t="n">
        <x:v>46225</x:v>
      </x:c>
      <x:c r="J27" s="33" t="str">
        <x:v>固万基官方旗舰店</x:v>
      </x:c>
      <x:c r="K27" s="41"/>
      <x:c r="L27" s="41" t="str">
        <x:v>非本体采购不纳入</x:v>
      </x:c>
      <x:c r="M27" s="41" t="str">
        <x:v>确认订单优惠后价格</x:v>
      </x:c>
    </x:row>
    <x:row r="28">
      <x:c r="A28" s="36" t="str">
        <x:v>ZC-20260722-009</x:v>
      </x:c>
      <x:c r="B28" s="36" t="str">
        <x:v>材料耗材</x:v>
      </x:c>
      <x:c r="C28" s="36" t="str">
        <x:v>低值易耗品</x:v>
      </x:c>
      <x:c r="D28" s="42" t="str">
        <x:v>单头六角铜柱</x:v>
      </x:c>
      <x:c r="E28" s="42" t="str">
        <x:v>M3×24+3/20支</x:v>
      </x:c>
      <x:c r="F28" s="88" t="n">
        <x:v>1</x:v>
      </x:c>
      <x:c r="G28" s="92" t="n">
        <x:v>7.06</x:v>
      </x:c>
      <x:c r="H28" s="92" t="n">
        <x:v>7.06</x:v>
      </x:c>
      <x:c r="I28" s="96" t="n">
        <x:v>46225</x:v>
      </x:c>
      <x:c r="J28" s="36" t="str">
        <x:v>固万基官方旗舰店</x:v>
      </x:c>
      <x:c r="K28" s="42"/>
      <x:c r="L28" s="42" t="str">
        <x:v>非本体采购不纳入</x:v>
      </x:c>
      <x:c r="M28" s="42" t="str">
        <x:v>确认订单优惠后价格</x:v>
      </x:c>
    </x:row>
    <x:row r="29">
      <x:c r="A29" s="33" t="str">
        <x:v>ZC-20260722-010</x:v>
      </x:c>
      <x:c r="B29" s="33" t="str">
        <x:v>仪器仪表</x:v>
      </x:c>
      <x:c r="C29" s="33" t="str">
        <x:v>可周转资产</x:v>
      </x:c>
      <x:c r="D29" s="41" t="str">
        <x:v>数字万用表</x:v>
      </x:c>
      <x:c r="E29" s="41" t="str">
        <x:v>多功能智能防烧/标配+备用电池</x:v>
      </x:c>
      <x:c r="F29" s="87" t="n">
        <x:v>1</x:v>
      </x:c>
      <x:c r="G29" s="91" t="n">
        <x:v>18.6</x:v>
      </x:c>
      <x:c r="H29" s="91" t="n">
        <x:v>18.6</x:v>
      </x:c>
      <x:c r="I29" s="95" t="n">
        <x:v>46225</x:v>
      </x:c>
      <x:c r="J29" s="33" t="str">
        <x:v>嘉华仪器仪表批发中心</x:v>
      </x:c>
      <x:c r="K29" s="41"/>
      <x:c r="L29" s="41" t="str">
        <x:v>通用工具不纳入</x:v>
      </x:c>
      <x:c r="M29" s="41" t="str">
        <x:v>用于装配或调试，不计入单台机器人</x:v>
      </x:c>
    </x:row>
    <x:row r="30">
      <x:c r="A30" s="36" t="str">
        <x:v>ZC-20260722-011</x:v>
      </x:c>
      <x:c r="B30" s="36" t="str">
        <x:v>材料耗材</x:v>
      </x:c>
      <x:c r="C30" s="36" t="str">
        <x:v>低值易耗品</x:v>
      </x:c>
      <x:c r="D30" s="42" t="str">
        <x:v>304不锈钢六角螺母</x:v>
      </x:c>
      <x:c r="E30" s="42" t="str">
        <x:v>M5/50个</x:v>
      </x:c>
      <x:c r="F30" s="88" t="n">
        <x:v>1</x:v>
      </x:c>
      <x:c r="G30" s="92" t="n">
        <x:v>2.26</x:v>
      </x:c>
      <x:c r="H30" s="92" t="n">
        <x:v>2.26</x:v>
      </x:c>
      <x:c r="I30" s="96" t="n">
        <x:v>46225</x:v>
      </x:c>
      <x:c r="J30" s="36" t="str">
        <x:v>楚卫旗舰店</x:v>
      </x:c>
      <x:c r="K30" s="42"/>
      <x:c r="L30" s="42" t="str">
        <x:v>非本体采购不纳入</x:v>
      </x:c>
      <x:c r="M30" s="42" t="str">
        <x:v>确认订单优惠后价格</x:v>
      </x:c>
    </x:row>
    <x:row r="31">
      <x:c r="A31" s="33" t="str">
        <x:v>ZC-20260722-012</x:v>
      </x:c>
      <x:c r="B31" s="33" t="str">
        <x:v>材料耗材</x:v>
      </x:c>
      <x:c r="C31" s="33" t="str">
        <x:v>低值易耗品</x:v>
      </x:c>
      <x:c r="D31" s="41" t="str">
        <x:v>304不锈钢六角螺母</x:v>
      </x:c>
      <x:c r="E31" s="41" t="str">
        <x:v>M4/100个</x:v>
      </x:c>
      <x:c r="F31" s="87" t="n">
        <x:v>1</x:v>
      </x:c>
      <x:c r="G31" s="91" t="n">
        <x:v>3.18</x:v>
      </x:c>
      <x:c r="H31" s="91" t="n">
        <x:v>3.18</x:v>
      </x:c>
      <x:c r="I31" s="95" t="n">
        <x:v>46225</x:v>
      </x:c>
      <x:c r="J31" s="33" t="str">
        <x:v>楚卫旗舰店</x:v>
      </x:c>
      <x:c r="K31" s="41"/>
      <x:c r="L31" s="41" t="str">
        <x:v>非本体采购不纳入</x:v>
      </x:c>
      <x:c r="M31" s="41" t="str">
        <x:v>确认订单优惠后价格</x:v>
      </x:c>
    </x:row>
    <x:row r="32">
      <x:c r="A32" s="36" t="str">
        <x:v>ZC-20260722-013</x:v>
      </x:c>
      <x:c r="B32" s="36" t="str">
        <x:v>材料耗材</x:v>
      </x:c>
      <x:c r="C32" s="36" t="str">
        <x:v>低值易耗品</x:v>
      </x:c>
      <x:c r="D32" s="42" t="str">
        <x:v>304不锈钢六角螺母</x:v>
      </x:c>
      <x:c r="E32" s="42" t="str">
        <x:v>M3/100个</x:v>
      </x:c>
      <x:c r="F32" s="88" t="n">
        <x:v>1</x:v>
      </x:c>
      <x:c r="G32" s="92" t="n">
        <x:v>2.09</x:v>
      </x:c>
      <x:c r="H32" s="92" t="n">
        <x:v>2.09</x:v>
      </x:c>
      <x:c r="I32" s="96" t="n">
        <x:v>46225</x:v>
      </x:c>
      <x:c r="J32" s="36" t="str">
        <x:v>楚卫旗舰店</x:v>
      </x:c>
      <x:c r="K32" s="42" t="str">
        <x:v>CPI-CONS-006</x:v>
      </x:c>
      <x:c r="L32" s="42" t="str">
        <x:v>装配耗材</x:v>
      </x:c>
      <x:c r="M32" s="42" t="str">
        <x:v>确认订单优惠后价格</x:v>
      </x:c>
    </x:row>
    <x:row r="33">
      <x:c r="A33" s="33" t="str">
        <x:v>ZC-20260722-014</x:v>
      </x:c>
      <x:c r="B33" s="33" t="str">
        <x:v>材料耗材</x:v>
      </x:c>
      <x:c r="C33" s="33" t="str">
        <x:v>低值易耗品</x:v>
      </x:c>
      <x:c r="D33" s="41" t="str">
        <x:v>304内六角螺钉</x:v>
      </x:c>
      <x:c r="E33" s="41" t="str">
        <x:v>M3×12/100个</x:v>
      </x:c>
      <x:c r="F33" s="87" t="n">
        <x:v>1</x:v>
      </x:c>
      <x:c r="G33" s="91" t="n">
        <x:v>2.6</x:v>
      </x:c>
      <x:c r="H33" s="91" t="n">
        <x:v>2.6</x:v>
      </x:c>
      <x:c r="I33" s="95" t="n">
        <x:v>46225</x:v>
      </x:c>
      <x:c r="J33" s="33" t="str">
        <x:v>楚卫旗舰店</x:v>
      </x:c>
      <x:c r="K33" s="41" t="str">
        <x:v>CPI-CONS-003</x:v>
      </x:c>
      <x:c r="L33" s="41" t="str">
        <x:v>装配耗材</x:v>
      </x:c>
      <x:c r="M33" s="41" t="str">
        <x:v>确认订单优惠后价格</x:v>
      </x:c>
    </x:row>
    <x:row r="34">
      <x:c r="A34" s="36" t="str">
        <x:v>ZC-20260722-015</x:v>
      </x:c>
      <x:c r="B34" s="36" t="str">
        <x:v>材料耗材</x:v>
      </x:c>
      <x:c r="C34" s="36" t="str">
        <x:v>低值易耗品</x:v>
      </x:c>
      <x:c r="D34" s="42" t="str">
        <x:v>304十字圆头螺钉</x:v>
      </x:c>
      <x:c r="E34" s="42" t="str">
        <x:v>M5×12/50个</x:v>
      </x:c>
      <x:c r="F34" s="88" t="n">
        <x:v>1</x:v>
      </x:c>
      <x:c r="G34" s="92" t="n">
        <x:v>4.78</x:v>
      </x:c>
      <x:c r="H34" s="92" t="n">
        <x:v>4.78</x:v>
      </x:c>
      <x:c r="I34" s="96" t="n">
        <x:v>46225</x:v>
      </x:c>
      <x:c r="J34" s="36" t="str">
        <x:v>佰瑞特官方旗舰店</x:v>
      </x:c>
      <x:c r="K34" s="42"/>
      <x:c r="L34" s="42" t="str">
        <x:v>非本体采购不纳入</x:v>
      </x:c>
      <x:c r="M34" s="42" t="str">
        <x:v>确认订单优惠后价格</x:v>
      </x:c>
    </x:row>
    <x:row r="35">
      <x:c r="A35" s="33" t="str">
        <x:v>ZC-20260722-016</x:v>
      </x:c>
      <x:c r="B35" s="33" t="str">
        <x:v>材料耗材</x:v>
      </x:c>
      <x:c r="C35" s="33" t="str">
        <x:v>低值易耗品</x:v>
      </x:c>
      <x:c r="D35" s="41" t="str">
        <x:v>304十字圆头螺钉</x:v>
      </x:c>
      <x:c r="E35" s="41" t="str">
        <x:v>M4×12/50个</x:v>
      </x:c>
      <x:c r="F35" s="87" t="n">
        <x:v>1</x:v>
      </x:c>
      <x:c r="G35" s="91" t="n">
        <x:v>2.75</x:v>
      </x:c>
      <x:c r="H35" s="91" t="n">
        <x:v>2.75</x:v>
      </x:c>
      <x:c r="I35" s="95" t="n">
        <x:v>46225</x:v>
      </x:c>
      <x:c r="J35" s="33" t="str">
        <x:v>佰瑞特官方旗舰店</x:v>
      </x:c>
      <x:c r="K35" s="41"/>
      <x:c r="L35" s="41" t="str">
        <x:v>非本体采购不纳入</x:v>
      </x:c>
      <x:c r="M35" s="41" t="str">
        <x:v>确认订单优惠后价格</x:v>
      </x:c>
    </x:row>
    <x:row r="36">
      <x:c r="A36" s="36" t="str">
        <x:v>ZC-20260722-017</x:v>
      </x:c>
      <x:c r="B36" s="36" t="str">
        <x:v>材料耗材</x:v>
      </x:c>
      <x:c r="C36" s="36" t="str">
        <x:v>低值易耗品</x:v>
      </x:c>
      <x:c r="D36" s="42" t="str">
        <x:v>304十字圆头螺钉</x:v>
      </x:c>
      <x:c r="E36" s="42" t="str">
        <x:v>M4×10/100个</x:v>
      </x:c>
      <x:c r="F36" s="88" t="n">
        <x:v>1</x:v>
      </x:c>
      <x:c r="G36" s="92" t="n">
        <x:v>4.95</x:v>
      </x:c>
      <x:c r="H36" s="92" t="n">
        <x:v>4.95</x:v>
      </x:c>
      <x:c r="I36" s="96" t="n">
        <x:v>46225</x:v>
      </x:c>
      <x:c r="J36" s="36" t="str">
        <x:v>佰瑞特官方旗舰店</x:v>
      </x:c>
      <x:c r="K36" s="42"/>
      <x:c r="L36" s="42" t="str">
        <x:v>非本体采购不纳入</x:v>
      </x:c>
      <x:c r="M36" s="42" t="str">
        <x:v>确认订单优惠后价格</x:v>
      </x:c>
    </x:row>
    <x:row r="37">
      <x:c r="A37" s="33" t="str">
        <x:v>ZC-20260722-018</x:v>
      </x:c>
      <x:c r="B37" s="33" t="str">
        <x:v>材料耗材</x:v>
      </x:c>
      <x:c r="C37" s="33" t="str">
        <x:v>低值易耗品</x:v>
      </x:c>
      <x:c r="D37" s="41" t="str">
        <x:v>304十字圆头螺钉</x:v>
      </x:c>
      <x:c r="E37" s="41" t="str">
        <x:v>M3×10/100个</x:v>
      </x:c>
      <x:c r="F37" s="87" t="n">
        <x:v>1</x:v>
      </x:c>
      <x:c r="G37" s="91" t="n">
        <x:v>2.96</x:v>
      </x:c>
      <x:c r="H37" s="91" t="n">
        <x:v>2.96</x:v>
      </x:c>
      <x:c r="I37" s="95" t="n">
        <x:v>46225</x:v>
      </x:c>
      <x:c r="J37" s="33" t="str">
        <x:v>佰瑞特官方旗舰店</x:v>
      </x:c>
      <x:c r="K37" s="41" t="str">
        <x:v>CPI-CONS-002</x:v>
      </x:c>
      <x:c r="L37" s="41" t="str">
        <x:v>装配耗材</x:v>
      </x:c>
      <x:c r="M37" s="41" t="str">
        <x:v>确认订单优惠后价格</x:v>
      </x:c>
    </x:row>
    <x:row r="38">
      <x:c r="A38" s="36" t="str">
        <x:v>ZC-20260722-019</x:v>
      </x:c>
      <x:c r="B38" s="36" t="str">
        <x:v>材料耗材</x:v>
      </x:c>
      <x:c r="C38" s="36" t="str">
        <x:v>低值易耗品</x:v>
      </x:c>
      <x:c r="D38" s="42" t="str">
        <x:v>304十字圆头螺钉</x:v>
      </x:c>
      <x:c r="E38" s="42" t="str">
        <x:v>M3×6/100个</x:v>
      </x:c>
      <x:c r="F38" s="88" t="n">
        <x:v>1</x:v>
      </x:c>
      <x:c r="G38" s="92" t="n">
        <x:v>2.34</x:v>
      </x:c>
      <x:c r="H38" s="92" t="n">
        <x:v>2.34</x:v>
      </x:c>
      <x:c r="I38" s="96" t="n">
        <x:v>46225</x:v>
      </x:c>
      <x:c r="J38" s="36" t="str">
        <x:v>佰瑞特官方旗舰店</x:v>
      </x:c>
      <x:c r="K38" s="42" t="str">
        <x:v>CPI-CONS-001</x:v>
      </x:c>
      <x:c r="L38" s="42" t="str">
        <x:v>装配耗材</x:v>
      </x:c>
      <x:c r="M38" s="42" t="str">
        <x:v>确认订单优惠后价格</x:v>
      </x:c>
    </x:row>
    <x:row r="39">
      <x:c r="A39" s="33" t="str">
        <x:v>ZC-20260722-020</x:v>
      </x:c>
      <x:c r="B39" s="33" t="str">
        <x:v>工具器具</x:v>
      </x:c>
      <x:c r="C39" s="33" t="str">
        <x:v>可周转资产</x:v>
      </x:c>
      <x:c r="D39" s="41" t="str">
        <x:v>接线端子压线钳</x:v>
      </x:c>
      <x:c r="E39" s="41" t="str">
        <x:v>HSC8 6-4A/0.25-10mm²/四边形</x:v>
      </x:c>
      <x:c r="F39" s="87" t="n">
        <x:v>1</x:v>
      </x:c>
      <x:c r="G39" s="91" t="n">
        <x:v>16.9</x:v>
      </x:c>
      <x:c r="H39" s="91" t="n">
        <x:v>16.9</x:v>
      </x:c>
      <x:c r="I39" s="95" t="n">
        <x:v>46225</x:v>
      </x:c>
      <x:c r="J39" s="33" t="str">
        <x:v>德力西聚优品专卖店</x:v>
      </x:c>
      <x:c r="K39" s="41"/>
      <x:c r="L39" s="41" t="str">
        <x:v>通用工具不纳入</x:v>
      </x:c>
      <x:c r="M39" s="41" t="str">
        <x:v>用于装配或调试，不计入单台机器人</x:v>
      </x:c>
    </x:row>
    <x:row r="40">
      <x:c r="A40" s="36" t="str">
        <x:v>ZC-20260722-021</x:v>
      </x:c>
      <x:c r="B40" s="36" t="str">
        <x:v>材料耗材</x:v>
      </x:c>
      <x:c r="C40" s="36" t="str">
        <x:v>低值易耗品</x:v>
      </x:c>
      <x:c r="D40" s="42" t="str">
        <x:v>管型端子套装</x:v>
      </x:c>
      <x:c r="E40" s="42" t="str">
        <x:v>VE1508针形铜鼻子/8种规格/1200只</x:v>
      </x:c>
      <x:c r="F40" s="88" t="n">
        <x:v>1</x:v>
      </x:c>
      <x:c r="G40" s="92" t="n">
        <x:v>17.82</x:v>
      </x:c>
      <x:c r="H40" s="92" t="n">
        <x:v>17.82</x:v>
      </x:c>
      <x:c r="I40" s="96" t="n">
        <x:v>46225</x:v>
      </x:c>
      <x:c r="J40" s="36" t="str">
        <x:v>UTL尤提乐岚行专卖店</x:v>
      </x:c>
      <x:c r="K40" s="42" t="str">
        <x:v>CPI-CONS-010</x:v>
      </x:c>
      <x:c r="L40" s="42" t="str">
        <x:v>装配耗材</x:v>
      </x:c>
      <x:c r="M40" s="42" t="str">
        <x:v>确认订单优惠后价格</x:v>
      </x:c>
    </x:row>
    <x:row r="41">
      <x:c r="A41" s="33" t="str">
        <x:v>ZC-20260722-022</x:v>
      </x:c>
      <x:c r="B41" s="33" t="str">
        <x:v>材料耗材</x:v>
      </x:c>
      <x:c r="C41" s="33" t="str">
        <x:v>低值易耗品</x:v>
      </x:c>
      <x:c r="D41" s="41" t="str">
        <x:v>迷你接线端子连接器</x:v>
      </x:c>
      <x:c r="E41" s="41" t="str">
        <x:v>H3802-15A-03/3位/白色</x:v>
      </x:c>
      <x:c r="F41" s="87" t="n">
        <x:v>5</x:v>
      </x:c>
      <x:c r="G41" s="91" t="n">
        <x:v>4.98</x:v>
      </x:c>
      <x:c r="H41" s="91" t="n">
        <x:v>24.900000000000002</x:v>
      </x:c>
      <x:c r="I41" s="95" t="n">
        <x:v>46225</x:v>
      </x:c>
      <x:c r="J41" s="33" t="str">
        <x:v>elinkerelectric旗舰店</x:v>
      </x:c>
      <x:c r="K41" s="41" t="str">
        <x:v>CPI-CONS-011</x:v>
      </x:c>
      <x:c r="L41" s="41" t="str">
        <x:v>装配耗材</x:v>
      </x:c>
      <x:c r="M41" s="41" t="str">
        <x:v>确认订单优惠后价格</x:v>
      </x:c>
    </x:row>
    <x:row r="42">
      <x:c r="A42" s="36" t="str">
        <x:v>ZC-20260724-001</x:v>
      </x:c>
      <x:c r="B42" s="36" t="str">
        <x:v>设备及装置</x:v>
      </x:c>
      <x:c r="C42" s="36" t="str">
        <x:v>可周转资产</x:v>
      </x:c>
      <x:c r="D42" s="42" t="str">
        <x:v>12V锂电池充电器</x:v>
      </x:c>
      <x:c r="E42" s="42" t="str">
        <x:v>12-12.6V/1A-2A/5.5mm圆孔/线长1米</x:v>
      </x:c>
      <x:c r="F42" s="88" t="n">
        <x:v>1</x:v>
      </x:c>
      <x:c r="G42" s="92" t="n">
        <x:v>12.5</x:v>
      </x:c>
      <x:c r="H42" s="92" t="n">
        <x:v>12.5</x:v>
      </x:c>
      <x:c r="I42" s="96" t="n">
        <x:v>46227</x:v>
      </x:c>
      <x:c r="J42" s="36" t="str">
        <x:v>浩可充电器实力工厂</x:v>
      </x:c>
      <x:c r="K42" s="42"/>
      <x:c r="L42" s="42" t="str">
        <x:v>通用工具不纳入</x:v>
      </x:c>
      <x:c r="M42" s="42" t="str">
        <x:v>用于装配或调试，不计入单台机器人</x:v>
      </x:c>
    </x:row>
    <x:row r="43">
      <x:c r="A43" s="33" t="str">
        <x:v>ZC-20260724-002</x:v>
      </x:c>
      <x:c r="B43" s="33" t="str">
        <x:v>设备及装置</x:v>
      </x:c>
      <x:c r="C43" s="33" t="str">
        <x:v>可周转资产</x:v>
      </x:c>
      <x:c r="D43" s="41" t="str">
        <x:v>公牛六位总控插座</x:v>
      </x:c>
      <x:c r="E43" s="41" t="str">
        <x:v>B9330/全长1.8米</x:v>
      </x:c>
      <x:c r="F43" s="87" t="n">
        <x:v>1</x:v>
      </x:c>
      <x:c r="G43" s="91" t="n">
        <x:v>38</x:v>
      </x:c>
      <x:c r="H43" s="91" t="n">
        <x:v>38</x:v>
      </x:c>
      <x:c r="I43" s="95" t="n">
        <x:v>46227</x:v>
      </x:c>
      <x:c r="J43" s="33" t="str">
        <x:v>公牛多德专卖店</x:v>
      </x:c>
      <x:c r="K43" s="41"/>
      <x:c r="L43" s="41" t="str">
        <x:v>通用工具不纳入</x:v>
      </x:c>
      <x:c r="M43" s="41" t="str">
        <x:v>用于装配或调试，不计入单台机器人</x:v>
      </x:c>
    </x:row>
    <x:row r="44">
      <x:c r="A44" s="36" t="str">
        <x:v>ZC-20260728-002</x:v>
      </x:c>
      <x:c r="B44" s="36" t="str">
        <x:v>材料耗材</x:v>
      </x:c>
      <x:c r="C44" s="36" t="str">
        <x:v>低值易耗品</x:v>
      </x:c>
      <x:c r="D44" s="42" t="str">
        <x:v>单头六角铜柱</x:v>
      </x:c>
      <x:c r="E44" s="42" t="str">
        <x:v>M3*24+6（20支）</x:v>
      </x:c>
      <x:c r="F44" s="88" t="n">
        <x:v>1</x:v>
      </x:c>
      <x:c r="G44" s="92" t="n">
        <x:v>8.01</x:v>
      </x:c>
      <x:c r="H44" s="92" t="n">
        <x:v>8.01</x:v>
      </x:c>
      <x:c r="I44" s="96" t="n">
        <x:v>46231</x:v>
      </x:c>
      <x:c r="J44" s="36" t="str">
        <x:v>固万基官方旗舰店</x:v>
      </x:c>
      <x:c r="K44" s="42"/>
      <x:c r="L44" s="42" t="str">
        <x:v>非本体采购不纳入</x:v>
      </x:c>
      <x:c r="M44" s="42" t="str">
        <x:v>优惠后价；先用后付</x:v>
      </x:c>
    </x:row>
    <x:row r="45">
      <x:c r="A45" s="33" t="str">
        <x:v>ZC-20260728-003</x:v>
      </x:c>
      <x:c r="B45" s="33" t="str">
        <x:v>材料耗材</x:v>
      </x:c>
      <x:c r="C45" s="33" t="str">
        <x:v>低值易耗品</x:v>
      </x:c>
      <x:c r="D45" s="41" t="str">
        <x:v>单头六角铜柱</x:v>
      </x:c>
      <x:c r="E45" s="41" t="str">
        <x:v>M3*37+6（20支）</x:v>
      </x:c>
      <x:c r="F45" s="87" t="n">
        <x:v>1</x:v>
      </x:c>
      <x:c r="G45" s="91" t="n">
        <x:v>14.4</x:v>
      </x:c>
      <x:c r="H45" s="91" t="n">
        <x:v>14.4</x:v>
      </x:c>
      <x:c r="I45" s="95" t="n">
        <x:v>46231</x:v>
      </x:c>
      <x:c r="J45" s="33" t="str">
        <x:v>固万基官方旗舰店</x:v>
      </x:c>
      <x:c r="K45" s="41"/>
      <x:c r="L45" s="41" t="str">
        <x:v>非本体采购不纳入</x:v>
      </x:c>
      <x:c r="M45" s="41" t="str">
        <x:v>优惠后价；先用后付</x:v>
      </x:c>
    </x:row>
    <x:row r="46">
      <x:c r="A46" s="36" t="str">
        <x:v>ZC-20260728-004</x:v>
      </x:c>
      <x:c r="B46" s="36" t="str">
        <x:v>工具器具</x:v>
      </x:c>
      <x:c r="C46" s="36" t="str">
        <x:v>可周转资产</x:v>
      </x:c>
      <x:c r="D46" s="42" t="str">
        <x:v>钳子三件套</x:v>
      </x:c>
      <x:c r="E46" s="42" t="str">
        <x:v>8寸工业级套装（老虎钳+斜嘴钳+尖嘴钳）</x:v>
      </x:c>
      <x:c r="F46" s="88" t="n">
        <x:v>1</x:v>
      </x:c>
      <x:c r="G46" s="92" t="n">
        <x:v>26.27</x:v>
      </x:c>
      <x:c r="H46" s="92" t="n">
        <x:v>26.27</x:v>
      </x:c>
      <x:c r="I46" s="96" t="n">
        <x:v>46231</x:v>
      </x:c>
      <x:c r="J46" s="36" t="str">
        <x:v>天天特卖工厂</x:v>
      </x:c>
      <x:c r="K46" s="42"/>
      <x:c r="L46" s="42" t="str">
        <x:v>通用工具不纳入</x:v>
      </x:c>
      <x:c r="M46" s="42" t="str">
        <x:v>用于装配或调试，不计入单台机器人</x:v>
      </x:c>
    </x:row>
    <x:row r="47">
      <x:c r="A47" s="33" t="str">
        <x:v>ZC-20260728-005</x:v>
      </x:c>
      <x:c r="B47" s="33" t="str">
        <x:v>电子元器件</x:v>
      </x:c>
      <x:c r="C47" s="33" t="str">
        <x:v>项目组件</x:v>
      </x:c>
      <x:c r="D47" s="41" t="str">
        <x:v>XT60公母插头</x:v>
      </x:c>
      <x:c r="E47" s="41" t="str">
        <x:v>XT60公头12AWG，3.4平方，30厘米，5条</x:v>
      </x:c>
      <x:c r="F47" s="87" t="n">
        <x:v>1</x:v>
      </x:c>
      <x:c r="G47" s="91" t="n">
        <x:v>26</x:v>
      </x:c>
      <x:c r="H47" s="91" t="n">
        <x:v>26</x:v>
      </x:c>
      <x:c r="I47" s="95" t="n">
        <x:v>46231</x:v>
      </x:c>
      <x:c r="J47" s="33" t="str">
        <x:v>创未良品电子科技有限公司</x:v>
      </x:c>
      <x:c r="K47" s="41" t="str">
        <x:v>CPI-POWER-010</x:v>
      </x:c>
      <x:c r="L47" s="41" t="str">
        <x:v>直接使用</x:v>
      </x:c>
      <x:c r="M47" s="41" t="str">
        <x:v>优惠后价；先用后付</x:v>
      </x:c>
    </x:row>
    <x:row r="48">
      <x:c r="A48" s="36" t="str">
        <x:v>ZC-20260729-001</x:v>
      </x:c>
      <x:c r="B48" s="36" t="str">
        <x:v>电子元器件</x:v>
      </x:c>
      <x:c r="C48" s="36" t="str">
        <x:v>项目组件</x:v>
      </x:c>
      <x:c r="D48" s="42" t="str">
        <x:v>DC-DC降压模块</x:v>
      </x:c>
      <x:c r="E48" s="42" t="str">
        <x:v>QS-1205CBUM-10A / DC-DC 5V 10A</x:v>
      </x:c>
      <x:c r="F48" s="88" t="n">
        <x:v>1</x:v>
      </x:c>
      <x:c r="G48" s="92" t="n">
        <x:v>17.6</x:v>
      </x:c>
      <x:c r="H48" s="92" t="n">
        <x:v>17.6</x:v>
      </x:c>
      <x:c r="I48" s="96" t="n">
        <x:v>46232</x:v>
      </x:c>
      <x:c r="J48" s="36" t="str">
        <x:v>深圳市优信电子科技有限公司</x:v>
      </x:c>
      <x:c r="K48" s="42" t="str">
        <x:v>CPI-POWER-003</x:v>
      </x:c>
      <x:c r="L48" s="42" t="str">
        <x:v>直接使用</x:v>
      </x:c>
      <x:c r="M48" s="42" t="str">
        <x:v>实付款17.60元</x:v>
      </x:c>
    </x:row>
    <x:row r="49">
      <x:c r="A49" s="33" t="str">
        <x:v>ZC-20260729-002</x:v>
      </x:c>
      <x:c r="B49" s="33" t="str">
        <x:v>设备及装置</x:v>
      </x:c>
      <x:c r="C49" s="33" t="str">
        <x:v>可周转资产</x:v>
      </x:c>
      <x:c r="D49" s="41" t="str">
        <x:v>水下机器人ROV探照灯</x:v>
      </x:c>
      <x:c r="E49" s="41" t="str">
        <x:v>Ardusub脉宽控制 / 光束角100° / 2500流明 / 8-30V宽压 / PWM驱动</x:v>
      </x:c>
      <x:c r="F49" s="87" t="n">
        <x:v>1</x:v>
      </x:c>
      <x:c r="G49" s="91" t="n">
        <x:v>306</x:v>
      </x:c>
      <x:c r="H49" s="91" t="n">
        <x:v>306</x:v>
      </x:c>
      <x:c r="I49" s="95" t="n">
        <x:v>46232</x:v>
      </x:c>
      <x:c r="J49" s="33" t="str">
        <x:v>EXOCEAN拓洲智能</x:v>
      </x:c>
      <x:c r="K49" s="41" t="str">
        <x:v>CPI-LIGHT-001</x:v>
      </x:c>
      <x:c r="L49" s="41" t="str">
        <x:v>部分使用</x:v>
      </x:c>
      <x:c r="M49" s="41" t="str">
        <x:v>现有数量不足第一版需求，缺口见BOM主表</x:v>
      </x:c>
    </x:row>
    <x:row r="50">
      <x:c r="A50" s="36" t="str">
        <x:v>ZC-20260729-003</x:v>
      </x:c>
      <x:c r="B50" s="36" t="str">
        <x:v>电子元器件</x:v>
      </x:c>
      <x:c r="C50" s="36" t="str">
        <x:v>项目组件</x:v>
      </x:c>
      <x:c r="D50" s="42" t="str">
        <x:v>USB转RS232/TTL通讯模块</x:v>
      </x:c>
      <x:c r="E50" s="42" t="str">
        <x:v>Y804（USB转TTL）/ 通讯电平5V</x:v>
      </x:c>
      <x:c r="F50" s="88" t="n">
        <x:v>1</x:v>
      </x:c>
      <x:c r="G50" s="92" t="n">
        <x:v>16.4</x:v>
      </x:c>
      <x:c r="H50" s="92" t="n">
        <x:v>16.4</x:v>
      </x:c>
      <x:c r="I50" s="96" t="n">
        <x:v>46232</x:v>
      </x:c>
      <x:c r="J50" s="36" t="str">
        <x:v>雨伽量旗舰店</x:v>
      </x:c>
      <x:c r="K50" s="42" t="str">
        <x:v>CPI-CTRL-003</x:v>
      </x:c>
      <x:c r="L50" s="42" t="str">
        <x:v>直接使用</x:v>
      </x:c>
      <x:c r="M50" s="42" t="str">
        <x:v>实付款16.40元</x:v>
      </x:c>
    </x:row>
    <x:row r="51">
      <x:c r="A51" s="33" t="str">
        <x:v>ZC-20260803-001</x:v>
      </x:c>
      <x:c r="B51" s="33" t="str">
        <x:v>材料耗材</x:v>
      </x:c>
      <x:c r="C51" s="33" t="str">
        <x:v>低值易耗品</x:v>
      </x:c>
      <x:c r="D51" s="41" t="str">
        <x:v>304不锈钢十字圆头机牙螺钉</x:v>
      </x:c>
      <x:c r="E51" s="41" t="str">
        <x:v>M3*22 / 100个</x:v>
      </x:c>
      <x:c r="F51" s="87" t="n">
        <x:v>1</x:v>
      </x:c>
      <x:c r="G51" s="91" t="n">
        <x:v>5.15</x:v>
      </x:c>
      <x:c r="H51" s="91" t="n">
        <x:v>5.15</x:v>
      </x:c>
      <x:c r="I51" s="95" t="n">
        <x:v>46237</x:v>
      </x:c>
      <x:c r="J51" s="33" t="str">
        <x:v>佰瑞特官方旗舰店</x:v>
      </x:c>
      <x:c r="K51" s="41"/>
      <x:c r="L51" s="41" t="str">
        <x:v>非本体采购不纳入</x:v>
      </x:c>
      <x:c r="M51" s="41" t="str">
        <x:v>先用后付；确认收货后应付5.15元</x:v>
      </x:c>
    </x:row>
    <x:row r="52">
      <x:c r="A52" s="36" t="str">
        <x:v>ZC-20260803-002</x:v>
      </x:c>
      <x:c r="B52" s="36" t="str">
        <x:v>材料耗材</x:v>
      </x:c>
      <x:c r="C52" s="36" t="str">
        <x:v>低值易耗品</x:v>
      </x:c>
      <x:c r="D52" s="42" t="str">
        <x:v>304不锈钢十字圆头机牙螺钉</x:v>
      </x:c>
      <x:c r="E52" s="42" t="str">
        <x:v>M3*20 / 100个</x:v>
      </x:c>
      <x:c r="F52" s="88" t="n">
        <x:v>1</x:v>
      </x:c>
      <x:c r="G52" s="92" t="n">
        <x:v>4.87</x:v>
      </x:c>
      <x:c r="H52" s="92" t="n">
        <x:v>4.87</x:v>
      </x:c>
      <x:c r="I52" s="96" t="n">
        <x:v>46237</x:v>
      </x:c>
      <x:c r="J52" s="36" t="str">
        <x:v>佰瑞特官方旗舰店</x:v>
      </x:c>
      <x:c r="K52" s="42" t="str">
        <x:v>CPI-CONS-004</x:v>
      </x:c>
      <x:c r="L52" s="42" t="str">
        <x:v>装配耗材</x:v>
      </x:c>
      <x:c r="M52" s="42" t="str">
        <x:v>先用后付；确认收货后应付4.87元</x:v>
      </x:c>
    </x:row>
    <x:row r="53">
      <x:c r="A53" s="33" t="str">
        <x:v>ZC-20260803-003</x:v>
      </x:c>
      <x:c r="B53" s="33" t="str">
        <x:v>材料耗材</x:v>
      </x:c>
      <x:c r="C53" s="33" t="str">
        <x:v>低值易耗品</x:v>
      </x:c>
      <x:c r="D53" s="41" t="str">
        <x:v>304不锈钢防松锁紧螺母</x:v>
      </x:c>
      <x:c r="E53" s="41" t="str">
        <x:v>M3 / 304材质 / 40个</x:v>
      </x:c>
      <x:c r="F53" s="87" t="n">
        <x:v>1</x:v>
      </x:c>
      <x:c r="G53" s="91" t="n">
        <x:v>1.94</x:v>
      </x:c>
      <x:c r="H53" s="91" t="n">
        <x:v>1.94</x:v>
      </x:c>
      <x:c r="I53" s="95" t="n">
        <x:v>46237</x:v>
      </x:c>
      <x:c r="J53" s="33" t="str">
        <x:v>固万基五金科技</x:v>
      </x:c>
      <x:c r="K53" s="41" t="str">
        <x:v>CPI-CONS-005</x:v>
      </x:c>
      <x:c r="L53" s="41" t="str">
        <x:v>装配耗材</x:v>
      </x:c>
      <x:c r="M53" s="41" t="str">
        <x:v>先用后付；确认收货后应付1.94元</x:v>
      </x:c>
    </x:row>
    <x:row r="54">
      <x:c r="A54" s="36" t="str">
        <x:v>ZC-20260807-001</x:v>
      </x:c>
      <x:c r="B54" s="36" t="str">
        <x:v>设备及装置</x:v>
      </x:c>
      <x:c r="C54" s="36" t="str">
        <x:v>可周转资产</x:v>
      </x:c>
      <x:c r="D54" s="42" t="str">
        <x:v>ROV电源板开关天启大电流控制器</x:v>
      </x:c>
      <x:c r="E54" s="42" t="str">
        <x:v>5V/12V输出 / 板载大电流MOS开关</x:v>
      </x:c>
      <x:c r="F54" s="88" t="n">
        <x:v>1</x:v>
      </x:c>
      <x:c r="G54" s="92" t="n">
        <x:v>249</x:v>
      </x:c>
      <x:c r="H54" s="92" t="n">
        <x:v>249</x:v>
      </x:c>
      <x:c r="I54" s="96" t="n">
        <x:v>46241</x:v>
      </x:c>
      <x:c r="J54" s="36" t="str">
        <x:v>店铺名未显示</x:v>
      </x:c>
      <x:c r="K54" s="42" t="str">
        <x:v>CPI-POWER-004</x:v>
      </x:c>
      <x:c r="L54" s="42" t="str">
        <x:v>直接使用</x:v>
      </x:c>
      <x:c r="M54" s="42" t="str">
        <x:v>包邮；截图未显示完整店铺名</x:v>
      </x:c>
    </x:row>
    <x:row r="55">
      <x:c r="A55" s="33" t="str">
        <x:v>ZC-20260807-002</x:v>
      </x:c>
      <x:c r="B55" s="33" t="str">
        <x:v>设备及装置</x:v>
      </x:c>
      <x:c r="C55" s="33" t="str">
        <x:v>可周转资产</x:v>
      </x:c>
      <x:c r="D55" s="41" t="str">
        <x:v>海目云水下机器人大深水旋钮开关</x:v>
      </x:c>
      <x:c r="E55" s="41" t="str">
        <x:v>M10开关</x:v>
      </x:c>
      <x:c r="F55" s="87" t="n">
        <x:v>1</x:v>
      </x:c>
      <x:c r="G55" s="91" t="n">
        <x:v>93.58</x:v>
      </x:c>
      <x:c r="H55" s="91" t="n">
        <x:v>93.58</x:v>
      </x:c>
      <x:c r="I55" s="95" t="n">
        <x:v>46241</x:v>
      </x:c>
      <x:c r="J55" s="33" t="str">
        <x:v>VIOCEAN海目云海洋科技企业店</x:v>
      </x:c>
      <x:c r="K55" s="41" t="str">
        <x:v>CPI-POWER-005</x:v>
      </x:c>
      <x:c r="L55" s="41" t="str">
        <x:v>直接使用</x:v>
      </x:c>
      <x:c r="M55" s="41" t="str">
        <x:v>补贴后价格</x:v>
      </x:c>
    </x:row>
    <x:row r="56">
      <x:c r="A56" s="36" t="str">
        <x:v>ZC-20260807-003</x:v>
      </x:c>
      <x:c r="B56" s="36" t="str">
        <x:v>工具器具</x:v>
      </x:c>
      <x:c r="C56" s="36" t="str">
        <x:v>可周转资产</x:v>
      </x:c>
      <x:c r="D56" s="42" t="str">
        <x:v>得力办公家用不锈钢美工剪刀</x:v>
      </x:c>
      <x:c r="E56" s="42" t="str">
        <x:v>办公家用剪刀</x:v>
      </x:c>
      <x:c r="F56" s="88" t="n">
        <x:v>1</x:v>
      </x:c>
      <x:c r="G56" s="92" t="n">
        <x:v>8</x:v>
      </x:c>
      <x:c r="H56" s="92" t="n">
        <x:v>8</x:v>
      </x:c>
      <x:c r="I56" s="96" t="n">
        <x:v>46241</x:v>
      </x:c>
      <x:c r="J56" s="36" t="str">
        <x:v>得力文具品牌旗舰店</x:v>
      </x:c>
      <x:c r="K56" s="42"/>
      <x:c r="L56" s="42" t="str">
        <x:v>通用工具不纳入</x:v>
      </x:c>
      <x:c r="M56" s="42" t="str">
        <x:v>用于装配或调试，不计入单台机器人</x:v>
      </x:c>
    </x:row>
    <x:row r="57">
      <x:c r="A57" s="33" t="str">
        <x:v>ZC-20260807-004</x:v>
      </x:c>
      <x:c r="B57" s="33" t="str">
        <x:v>工具器具</x:v>
      </x:c>
      <x:c r="C57" s="33" t="str">
        <x:v>可周转资产</x:v>
      </x:c>
      <x:c r="D57" s="41" t="str">
        <x:v>小鱼儿有机玻璃透明直尺</x:v>
      </x:c>
      <x:c r="E57" s="41" t="str">
        <x:v>塑料透明尺</x:v>
      </x:c>
      <x:c r="F57" s="87" t="n">
        <x:v>1</x:v>
      </x:c>
      <x:c r="G57" s="91" t="n">
        <x:v>2</x:v>
      </x:c>
      <x:c r="H57" s="91" t="n">
        <x:v>2</x:v>
      </x:c>
      <x:c r="I57" s="95" t="n">
        <x:v>46241</x:v>
      </x:c>
      <x:c r="J57" s="33" t="str">
        <x:v>得力文具品牌旗舰店</x:v>
      </x:c>
      <x:c r="K57" s="41"/>
      <x:c r="L57" s="41" t="str">
        <x:v>通用工具不纳入</x:v>
      </x:c>
      <x:c r="M57" s="41" t="str">
        <x:v>用于装配或调试，不计入单台机器人</x:v>
      </x:c>
    </x:row>
    <x:row r="58">
      <x:c r="A58" s="36" t="str">
        <x:v>ZC-20260807-005</x:v>
      </x:c>
      <x:c r="B58" s="36" t="str">
        <x:v>工具器具</x:v>
      </x:c>
      <x:c r="C58" s="36" t="str">
        <x:v>可周转资产</x:v>
      </x:c>
      <x:c r="D58" s="42" t="str">
        <x:v>得力小号迷你美工刀</x:v>
      </x:c>
      <x:c r="E58" s="42" t="str">
        <x:v>拆快递迷你美工刀</x:v>
      </x:c>
      <x:c r="F58" s="88" t="n">
        <x:v>1</x:v>
      </x:c>
      <x:c r="G58" s="92" t="n">
        <x:v>3</x:v>
      </x:c>
      <x:c r="H58" s="92" t="n">
        <x:v>3</x:v>
      </x:c>
      <x:c r="I58" s="96" t="n">
        <x:v>46241</x:v>
      </x:c>
      <x:c r="J58" s="36" t="str">
        <x:v>得力文具品牌旗舰店</x:v>
      </x:c>
      <x:c r="K58" s="42"/>
      <x:c r="L58" s="42" t="str">
        <x:v>通用工具不纳入</x:v>
      </x:c>
      <x:c r="M58" s="42" t="str">
        <x:v>用于装配或调试，不计入单台机器人</x:v>
      </x:c>
    </x:row>
    <x:row r="59">
      <x:c r="A59" s="33" t="str">
        <x:v>ZC-20260807-006</x:v>
      </x:c>
      <x:c r="B59" s="33" t="str">
        <x:v>材料耗材</x:v>
      </x:c>
      <x:c r="C59" s="33" t="str">
        <x:v>低值易耗品</x:v>
      </x:c>
      <x:c r="D59" s="41" t="str">
        <x:v>电工绝缘胶带</x:v>
      </x:c>
      <x:c r="E59" s="41" t="str">
        <x:v>PVC阻燃防水绝缘胶带</x:v>
      </x:c>
      <x:c r="F59" s="87" t="n">
        <x:v>2</x:v>
      </x:c>
      <x:c r="G59" s="91" t="n">
        <x:v>2.5</x:v>
      </x:c>
      <x:c r="H59" s="91" t="n">
        <x:v>5</x:v>
      </x:c>
      <x:c r="I59" s="95" t="n">
        <x:v>46241</x:v>
      </x:c>
      <x:c r="J59" s="33" t="str">
        <x:v>得力文具品牌旗舰店</x:v>
      </x:c>
      <x:c r="K59" s="41" t="str">
        <x:v>CPI-CONS-012</x:v>
      </x:c>
      <x:c r="L59" s="41" t="str">
        <x:v>装配耗材</x:v>
      </x:c>
      <x:c r="M59" s="41" t="str">
        <x:v>2卷合计5元</x:v>
      </x:c>
    </x:row>
    <x:row r="60">
      <x:c r="A60" s="36" t="str">
        <x:v>ZC-20260810-001</x:v>
      </x:c>
      <x:c r="B60" s="36" t="str">
        <x:v>电子元器件</x:v>
      </x:c>
      <x:c r="C60" s="36" t="str">
        <x:v>项目组件</x:v>
      </x:c>
      <x:c r="D60" s="42" t="str">
        <x:v>纯铜加粗0.5平方5A大电流Type-C公单头线</x:v>
      </x:c>
      <x:c r="E60" s="42" t="str">
        <x:v>0.3m / Type-C公单 / 黑色</x:v>
      </x:c>
      <x:c r="F60" s="88" t="n">
        <x:v>1</x:v>
      </x:c>
      <x:c r="G60" s="92" t="n">
        <x:v>4.98</x:v>
      </x:c>
      <x:c r="H60" s="92" t="n">
        <x:v>4.98</x:v>
      </x:c>
      <x:c r="I60" s="96" t="n">
        <x:v>46244</x:v>
      </x:c>
      <x:c r="J60" s="36" t="str">
        <x:v>邵深源线材工厂批发店</x:v>
      </x:c>
      <x:c r="K60" s="42" t="str">
        <x:v>CPI-POWER-012</x:v>
      </x:c>
      <x:c r="L60" s="42" t="str">
        <x:v>直接使用</x:v>
      </x:c>
      <x:c r="M60" s="42" t="str">
        <x:v>先用后付；订单号3316184510600008294</x:v>
      </x:c>
    </x:row>
    <x:row r="61">
      <x:c r="A61" s="33" t="str">
        <x:v>ZC-20260814-001</x:v>
      </x:c>
      <x:c r="B61" s="33" t="str">
        <x:v>工具器具</x:v>
      </x:c>
      <x:c r="C61" s="33" t="str">
        <x:v>可周转资产</x:v>
      </x:c>
      <x:c r="D61" s="41" t="str">
        <x:v>热熔胶枪</x:v>
      </x:c>
      <x:c r="E61" s="41" t="str">
        <x:v>7mm胶棒适用 / 不含胶棒</x:v>
      </x:c>
      <x:c r="F61" s="87" t="n">
        <x:v>1</x:v>
      </x:c>
      <x:c r="G61" s="91" t="n">
        <x:v>20.2</x:v>
      </x:c>
      <x:c r="H61" s="91" t="n">
        <x:v>20.2</x:v>
      </x:c>
      <x:c r="I61" s="95" t="n">
        <x:v>46248</x:v>
      </x:c>
      <x:c r="J61" s="33" t="str">
        <x:v>咚宜佳超市（大学城店）</x:v>
      </x:c>
      <x:c r="K61" s="41"/>
      <x:c r="L61" s="41" t="str">
        <x:v>通用工具不纳入</x:v>
      </x:c>
      <x:c r="M61" s="41" t="str">
        <x:v>用于装配或调试，不计入单台机器人</x:v>
      </x:c>
    </x:row>
    <x:row r="62">
      <x:c r="A62" s="84" t="str">
        <x:v>ZC-20260814-002</x:v>
      </x:c>
      <x:c r="B62" s="84" t="str">
        <x:v>材料耗材</x:v>
      </x:c>
      <x:c r="C62" s="84" t="str">
        <x:v>低值易耗品</x:v>
      </x:c>
      <x:c r="D62" s="85" t="str">
        <x:v>热熔胶棒</x:v>
      </x:c>
      <x:c r="E62" s="85" t="str">
        <x:v>7mm / 1条装</x:v>
      </x:c>
      <x:c r="F62" s="89" t="n">
        <x:v>10</x:v>
      </x:c>
      <x:c r="G62" s="93" t="n">
        <x:v>0.43</x:v>
      </x:c>
      <x:c r="H62" s="93" t="n">
        <x:v>4.3</x:v>
      </x:c>
      <x:c r="I62" s="97" t="n">
        <x:v>46248</x:v>
      </x:c>
      <x:c r="J62" s="84" t="str">
        <x:v>咚宜佳超市（大学城店）</x:v>
      </x:c>
      <x:c r="K62" s="85"/>
      <x:c r="L62" s="85" t="str">
        <x:v>非本体采购不纳入</x:v>
      </x:c>
      <x:c r="M62" s="85" t="str">
        <x:v>10条合计4.30元</x:v>
      </x:c>
    </x:row>
  </x:sheetData>
  <x:mergeCells>
    <x:mergeCell ref="A1:M1"/>
    <x:mergeCell ref="A2:M2"/>
  </x:mergeCells>
  <x:conditionalFormatting sqref="L6:L62">
    <x:cfRule type="containsText" dxfId="3" priority="1" operator="containsText" text="部分使用"/>
    <x:cfRule type="containsText" dxfId="4" priority="2" operator="containsText" text="不纳入"/>
  </x:conditionalFormatting>
  <x:dataValidations count="1">
    <x:dataValidation type="list" sqref="L6:L62">
      <x:formula1>"直接使用,部分使用,装配耗材,通用工具不纳入,非本体采购不纳入"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7c5ffde3e348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11.25" hidden="0" customWidth="1"/>
    <x:col min="3" max="3" width="26.25" hidden="0" customWidth="1"/>
    <x:col min="4" max="4" width="27.5" hidden="0" customWidth="1"/>
    <x:col min="5" max="5" width="35" hidden="0" customWidth="1"/>
    <x:col min="6" max="6" width="28.75" hidden="0" customWidth="1"/>
    <x:col min="7" max="7" width="31.25" hidden="0" customWidth="1"/>
  </x:cols>
  <x:sheetData>
    <x:row r="1" ht="31.5" customHeight="1">
      <x:c r="A1" s="4" t="str">
        <x:v>CavePI 工程待确认项</x:v>
      </x:c>
      <x:c r="B1" s="4"/>
      <x:c r="C1" s="4"/>
      <x:c r="D1" s="4"/>
      <x:c r="E1" s="4"/>
      <x:c r="F1" s="4"/>
      <x:c r="G1" s="4"/>
    </x:row>
    <x:row r="2" ht="25.5" customHeight="1">
      <x:c r="A2" s="9" t="str">
        <x:v>这些条目会影响最终采购数量或安全性。当前假设仅用于BOM占位，不代表完成设计验证。</x:v>
      </x:c>
      <x:c r="B2" s="9"/>
      <x:c r="C2" s="9"/>
      <x:c r="D2" s="9"/>
      <x:c r="E2" s="9"/>
      <x:c r="F2" s="9"/>
      <x:c r="G2" s="9"/>
    </x:row>
    <x:row r="4" ht="30" customHeight="1">
      <x:c r="A4" s="27" t="str">
        <x:v>编号</x:v>
      </x:c>
      <x:c r="B4" s="27" t="str">
        <x:v>分类</x:v>
      </x:c>
      <x:c r="C4" s="27" t="str">
        <x:v>确认事项</x:v>
      </x:c>
      <x:c r="D4" s="27" t="str">
        <x:v>当前假设</x:v>
      </x:c>
      <x:c r="E4" s="27" t="str">
        <x:v>需要确认/验证</x:v>
      </x:c>
      <x:c r="F4" s="27" t="str">
        <x:v>对BOM的影响</x:v>
      </x:c>
      <x:c r="G4" s="27" t="str">
        <x:v>建议动作</x:v>
      </x:c>
    </x:row>
    <x:row r="5" ht="43.5" customHeight="1">
      <x:c r="A5" s="107" t="str">
        <x:v>CHK-001</x:v>
      </x:c>
      <x:c r="B5" s="107" t="str">
        <x:v>耐压结构</x:v>
      </x:c>
      <x:c r="C5" s="107" t="str">
        <x:v>160×300 mm、壁厚5 mm亚克力舱体的30 m耐压能力</x:v>
      </x:c>
      <x:c r="D5" s="107" t="str">
        <x:v>尺寸已确认，耐压结论未确认</x:v>
      </x:c>
      <x:c r="E5" s="107" t="str">
        <x:v>材料牌号、加工缺口、端盖边界条件及压力试验</x:v>
      </x:c>
      <x:c r="F5" s="107" t="str">
        <x:v>可能改变筒体壁厚、端盖和锁紧结构</x:v>
      </x:c>
      <x:c r="G5" s="107" t="str">
        <x:v>完成结构计算，并分级进行负压检漏与水压试验</x:v>
      </x:c>
    </x:row>
    <x:row r="6" ht="43.5" customHeight="1">
      <x:c r="A6" s="105" t="str">
        <x:v>CHK-002</x:v>
      </x:c>
      <x:c r="B6" s="105" t="str">
        <x:v>耐压结构</x:v>
      </x:c>
      <x:c r="C6" s="105" t="str">
        <x:v>端盖材料、厚度和连接方式</x:v>
      </x:c>
      <x:c r="D6" s="105" t="str">
        <x:v>端盖2件</x:v>
      </x:c>
      <x:c r="E6" s="105" t="str">
        <x:v>端盖材料、厚度、密封槽、压环/螺栓方案</x:v>
      </x:c>
      <x:c r="F6" s="105" t="str">
        <x:v>决定端盖、压环、密封圈和紧固件规格</x:v>
      </x:c>
      <x:c r="G6" s="105" t="str">
        <x:v>先完成端盖剖面和密封槽工程图</x:v>
      </x:c>
    </x:row>
    <x:row r="7" ht="43.5" customHeight="1">
      <x:c r="A7" s="108" t="str">
        <x:v>CHK-003</x:v>
      </x:c>
      <x:c r="B7" s="108" t="str">
        <x:v>机械结构</x:v>
      </x:c>
      <x:c r="C7" s="108" t="str">
        <x:v>框架尺寸、材料与推进器布局</x:v>
      </x:c>
      <x:c r="D7" s="108" t="str">
        <x:v>四推进器、4自由度布局</x:v>
      </x:c>
      <x:c r="E7" s="108" t="str">
        <x:v>结构图、安装孔位、浮心与重心</x:v>
      </x:c>
      <x:c r="F7" s="108" t="str">
        <x:v>决定框架、支架、安装板及紧固件数量</x:v>
      </x:c>
      <x:c r="G7" s="108" t="str">
        <x:v>完成装配CAD后更新装配耗材数量</x:v>
      </x:c>
    </x:row>
    <x:row r="8" ht="43.5" customHeight="1">
      <x:c r="A8" s="105" t="str">
        <x:v>CHK-004</x:v>
      </x:c>
      <x:c r="B8" s="105" t="str">
        <x:v>水密布线</x:v>
      </x:c>
      <x:c r="C8" s="105" t="str">
        <x:v>主穿舱件数量与口径</x:v>
      </x:c>
      <x:c r="D8" s="105" t="str">
        <x:v>调试版5个、第一版8个、升级增加4个</x:v>
      </x:c>
      <x:c r="E8" s="105" t="str">
        <x:v>逐根线缆的线径、电流、屏蔽与可拆卸需求</x:v>
      </x:c>
      <x:c r="F8" s="105" t="str">
        <x:v>可能改变穿舱件、灌封胶和端盖开孔数量</x:v>
      </x:c>
      <x:c r="G8" s="105" t="str">
        <x:v>建立线缆/穿舱接口表后锁定</x:v>
      </x:c>
    </x:row>
    <x:row r="9" ht="43.5" customHeight="1">
      <x:c r="A9" s="108" t="str">
        <x:v>CHK-005</x:v>
      </x:c>
      <x:c r="B9" s="108" t="str">
        <x:v>电源</x:v>
      </x:c>
      <x:c r="C9" s="108" t="str">
        <x:v>第一版动力电池容量与尺寸</x:v>
      </x:c>
      <x:c r="D9" s="108" t="str">
        <x:v>4S 20-30Ah建议区间，目标1-2 h</x:v>
      </x:c>
      <x:c r="E9" s="108" t="str">
        <x:v>静态负载、巡航推进器电流、峰值电流、可用放电深度和舱内容积</x:v>
      </x:c>
      <x:c r="F9" s="108" t="str">
        <x:v>决定电池、保险丝、线径与续航</x:v>
      </x:c>
      <x:c r="G9" s="108" t="str">
        <x:v>完成整机功耗实测后计算容量并做热测试</x:v>
      </x:c>
    </x:row>
    <x:row r="10" ht="43.5" customHeight="1">
      <x:c r="A10" s="105" t="str">
        <x:v>CHK-006</x:v>
      </x:c>
      <x:c r="B10" s="105" t="str">
        <x:v>浮力稳定</x:v>
      </x:c>
      <x:c r="C10" s="105" t="str">
        <x:v>浮力材料与配重</x:v>
      </x:c>
      <x:c r="D10" s="105" t="str">
        <x:v>目标微正浮力</x:v>
      </x:c>
      <x:c r="E10" s="105" t="str">
        <x:v>整机干重、排水体积、浮心/重心位置</x:v>
      </x:c>
      <x:c r="F10" s="105" t="str">
        <x:v>决定浮力块和配重数量及位置</x:v>
      </x:c>
      <x:c r="G10" s="105" t="str">
        <x:v>整机装配后水池称重、配平与失电上浮测试</x:v>
      </x:c>
    </x:row>
    <x:row r="11" ht="43.5" customHeight="1">
      <x:c r="A11" s="108" t="str">
        <x:v>CHK-007</x:v>
      </x:c>
      <x:c r="B11" s="108" t="str">
        <x:v>热管理</x:v>
      </x:c>
      <x:c r="C11" s="108" t="str">
        <x:v>密闭舱内温升</x:v>
      </x:c>
      <x:c r="D11" s="108" t="str">
        <x:v>树莓派优先被动散热</x:v>
      </x:c>
      <x:c r="E11" s="108" t="str">
        <x:v>持续高负载1-2 h温升及电池热状态</x:v>
      </x:c>
      <x:c r="F11" s="108" t="str">
        <x:v>可能增加导热件或调整计算平台位置</x:v>
      </x:c>
      <x:c r="G11" s="108" t="str">
        <x:v>在密闭状态下做最大负载热测试</x:v>
      </x:c>
    </x:row>
    <x:row r="12" ht="43.5" customHeight="1">
      <x:c r="A12" s="105" t="str">
        <x:v>CHK-008</x:v>
      </x:c>
      <x:c r="B12" s="105" t="str">
        <x:v>后续升级</x:v>
      </x:c>
      <x:c r="C12" s="105" t="str">
        <x:v>Jetson Nano和树莓派5具体版本</x:v>
      </x:c>
      <x:c r="D12" s="105" t="str">
        <x:v>各1套</x:v>
      </x:c>
      <x:c r="E12" s="105" t="str">
        <x:v>算力、功耗、接口和供货情况</x:v>
      </x:c>
      <x:c r="F12" s="105" t="str">
        <x:v>影响电源容量、散热和舱内空间</x:v>
      </x:c>
      <x:c r="G12" s="105" t="str">
        <x:v>完成算法算力测试后选型</x:v>
      </x:c>
    </x:row>
    <x:row r="13" ht="43.5" customHeight="1">
      <x:c r="A13" s="108" t="str">
        <x:v>CHK-009</x:v>
      </x:c>
      <x:c r="B13" s="108" t="str">
        <x:v>后续升级</x:v>
      </x:c>
      <x:c r="C13" s="108" t="str">
        <x:v>摄像头与光学窗口</x:v>
      </x:c>
      <x:c r="D13" s="108" t="str">
        <x:v>前视、下视各1套</x:v>
      </x:c>
      <x:c r="E13" s="108" t="str">
        <x:v>低照度性能、视场角、接口、窗口材料和畸变</x:v>
      </x:c>
      <x:c r="F13" s="108" t="str">
        <x:v>影响舱体开孔、窗口和照明布置</x:v>
      </x:c>
      <x:c r="G13" s="108" t="str">
        <x:v>先做水下成像与视场验证</x:v>
      </x:c>
    </x:row>
    <x:row r="14" ht="43.5" customHeight="1">
      <x:c r="A14" s="106" t="str">
        <x:v>CHK-010</x:v>
      </x:c>
      <x:c r="B14" s="106" t="str">
        <x:v>后续升级</x:v>
      </x:c>
      <x:c r="C14" s="106" t="str">
        <x:v>定位与建图传感器组合</x:v>
      </x:c>
      <x:c r="D14" s="106" t="str">
        <x:v>DVL、水声定位、成像声呐均列为选配</x:v>
      </x:c>
      <x:c r="E14" s="106" t="str">
        <x:v>任务范围、精度、预算、功耗和安装空间</x:v>
      </x:c>
      <x:c r="F14" s="106" t="str">
        <x:v>可能显著增加预算、重量和水密接口</x:v>
      </x:c>
      <x:c r="G14" s="106" t="str">
        <x:v>先确定定位建图指标，再在选配件中取舍</x:v>
      </x:c>
    </x:row>
  </x:sheetData>
  <x:mergeCells>
    <x:mergeCell ref="A1:G1"/>
    <x:mergeCell ref="A2:G2"/>
  </x:mergeCells>
  <x:pageMargins left="0.7" right="0.7" top="0.75" bottom="0.75" header="0.3" footer="0.3"/>
</x:worksheet>
</file>