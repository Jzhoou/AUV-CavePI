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516ae4dba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清单" sheetId="1" r:id="R278bb2551c7748e3"/>
    <x:sheet xmlns:r="http://schemas.openxmlformats.org/officeDocument/2006/relationships" name="分类汇总" sheetId="2" r:id="R459c318a253b45ea"/>
    <x:sheet xmlns:r="http://schemas.openxmlformats.org/officeDocument/2006/relationships" name="未纳入资产" sheetId="3" r:id="R336099e4b0e9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"/>
    <x:numFmt numFmtId="202" formatCode="yyyy-mm-dd"/>
    <x:numFmt numFmtId="203" formatCode="0"/>
  </x:numFmts>
  <x:fonts count="13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24476B"/>
      <x:name val="Microsoft YaHei"/>
    </x:font>
    <x:font>
      <x:b/>
      <x:sz val="11"/>
      <x:color rgb="FF24476B"/>
      <x:name val="Microsoft YaHei"/>
    </x:font>
    <x:font>
      <x:b/>
      <x:sz val="12"/>
      <x:color rgb="FF24476B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7"/>
      <x:color rgb="FFFFFFFF"/>
      <x:name val="Microsoft YaHei"/>
    </x:font>
    <x:font>
      <x:i/>
      <x:sz val="11"/>
      <x:color rgb="FF24476B"/>
      <x:name val="Microsoft YaHei"/>
    </x:font>
    <x:font>
      <x:sz val="11"/>
      <x:color rgb="FF1F2937"/>
      <x:name val="Microsoft YaHei"/>
    </x:font>
    <x:font>
      <x:b/>
      <x:sz val="11"/>
      <x:color rgb="FFFFFFFF"/>
      <x:name val="Microsoft YaHei"/>
    </x:font>
    <x:font>
      <x:i/>
      <x:sz val="11"/>
      <x:color rgb="FF7C5700"/>
      <x:name val="Microsoft YaHei"/>
    </x:font>
    <x:font>
      <x:sz val="11"/>
      <x:color rgb="FF20304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EAF2F8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8">
    <x:border/>
    <x:border>
      <x:left style="thin">
        <x:color rgb="FFB4C7DC"/>
      </x:left>
      <x:top style="thin">
        <x:color rgb="FFB4C7DC"/>
      </x:top>
      <x:bottom style="thin">
        <x:color rgb="FFB4C7DC"/>
      </x:bottom>
    </x:border>
    <x:border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medium">
        <x:color rgb="FF24476B"/>
      </x:left>
      <x:top style="medium">
        <x:color rgb="FF24476B"/>
      </x:top>
      <x:bottom style="medium">
        <x:color rgb="FF24476B"/>
      </x:bottom>
    </x:border>
    <x:border>
      <x:top style="medium">
        <x:color rgb="FF24476B"/>
      </x:top>
      <x:bottom style="medium">
        <x:color rgb="FF24476B"/>
      </x:bottom>
    </x:border>
    <x:border>
      <x:right style="medium">
        <x:color rgb="FF24476B"/>
      </x:right>
      <x:top style="medium">
        <x:color rgb="FF24476B"/>
      </x:top>
      <x:bottom style="medium">
        <x:color rgb="FF24476B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201" fontId="9" fillId="0" borderId="0" xfId="0" applyNumberFormat="1" applyFont="1" applyFill="1" applyBorder="1"/>
    <x:xf numFmtId="201" fontId="3" fillId="5" borderId="5" xfId="0" applyNumberFormat="1" applyFont="1" applyFill="1" applyBorder="1"/>
    <x:xf numFmtId="200" fontId="9" fillId="0" borderId="0" xfId="0" applyNumberFormat="1" applyFont="1" applyFill="1" applyBorder="1"/>
    <x:xf numFmtId="200" fontId="3" fillId="5" borderId="6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2" fontId="9" fillId="0" borderId="0" xfId="0" applyNumberFormat="1" applyFont="1" applyFill="1" applyBorder="1"/>
    <x:xf numFmtId="200" fontId="3" fillId="5" borderId="5" xfId="0" applyNumberFormat="1" applyFont="1" applyFill="1" applyBorder="1"/>
    <x:xf numFmtId="200" fontId="0" fillId="0" borderId="0" xfId="0" applyNumberFormat="1" applyFont="1" applyFill="1" applyBorder="1"/>
    <x:xf numFmtId="200" fontId="3" fillId="5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xfId="0" applyNumberFormat="1" applyFont="1" applyFill="1" applyBorder="0"/>
    <x:xf numFmtId="0" fontId="12" fillId="0" borderId="7" xfId="0" applyNumberFormat="1" applyFont="1" applyFill="1" applyBorder="1"/>
    <x:xf numFmtId="0" fontId="12" fillId="0" xfId="0" applyNumberFormat="1" applyFont="1" applyFill="1" applyBorder="0" applyAlignment="1">
      <x:alignment wrapText="0"/>
    </x:xf>
    <x:xf numFmtId="0" fontId="12" fillId="0" borderId="7" xfId="0" applyNumberFormat="1" applyFont="1" applyFill="1" applyBorder="1" applyAlignment="1">
      <x:alignment wrapText="0"/>
    </x:xf>
    <x:xf numFmtId="0" fontId="12" fillId="0" xfId="0" applyNumberFormat="1" applyFont="1" applyFill="1" applyBorder="0" applyAlignment="1">
      <x:alignment vertical="center" wrapText="0"/>
    </x:xf>
    <x:xf numFmtId="0" fontId="12" fillId="0" borderId="7" xfId="0" applyNumberFormat="1" applyFont="1" applyFill="1" applyBorder="1" applyAlignment="1">
      <x:alignment vertical="center" wrapText="0"/>
    </x:xf>
    <x:xf numFmtId="0" fontId="12" fillId="8" xfId="0" applyNumberFormat="1" applyFont="1" applyFill="1" applyBorder="0" applyAlignment="1">
      <x:alignment vertical="center" wrapText="0"/>
    </x:xf>
    <x:xf numFmtId="0" fontId="12" fillId="9" xfId="0" applyNumberFormat="1" applyFont="1" applyFill="1" applyBorder="0" applyAlignment="1">
      <x:alignment vertical="center" wrapText="0"/>
    </x:xf>
    <x:xf numFmtId="0" fontId="12" fillId="9" borderId="7" xfId="0" applyNumberFormat="1" applyFont="1" applyFill="1" applyBorder="1" applyAlignment="1">
      <x:alignment vertical="center" wrapText="0"/>
    </x:xf>
    <x:xf numFmtId="0" fontId="12" fillId="8" xfId="0" applyNumberFormat="1" applyFont="1" applyFill="1" applyBorder="0" applyAlignment="1">
      <x:alignment vertical="center" wrapText="1"/>
    </x:xf>
    <x:xf numFmtId="0" fontId="12" fillId="9" xfId="0" applyNumberFormat="1" applyFont="1" applyFill="1" applyBorder="0" applyAlignment="1">
      <x:alignment vertical="center" wrapText="1"/>
    </x:xf>
    <x:xf numFmtId="0" fontId="12" fillId="9" borderId="7" xfId="0" applyNumberFormat="1" applyFont="1" applyFill="1" applyBorder="1" applyAlignment="1">
      <x:alignment vertical="center" wrapText="1"/>
    </x:xf>
    <x:xf numFmtId="0" fontId="12" fillId="8" xfId="0" applyNumberFormat="1" applyFont="1" applyFill="1" applyBorder="0" applyAlignment="1">
      <x:alignment horizontal="right" vertical="center" wrapText="0"/>
    </x:xf>
    <x:xf numFmtId="0" fontId="12" fillId="9" xfId="0" applyNumberFormat="1" applyFont="1" applyFill="1" applyBorder="0" applyAlignment="1">
      <x:alignment horizontal="right" vertical="center" wrapText="0"/>
    </x:xf>
    <x:xf numFmtId="0" fontId="12" fillId="9" borderId="7" xfId="0" applyNumberFormat="1" applyFont="1" applyFill="1" applyBorder="1" applyAlignment="1">
      <x:alignment horizontal="right" vertical="center" wrapText="0"/>
    </x:xf>
    <x:xf numFmtId="0" fontId="12" fillId="8" xfId="0" applyNumberFormat="1" applyFont="1" applyFill="1" applyBorder="0" applyAlignment="1">
      <x:alignment horizontal="center" vertical="center" wrapText="0"/>
    </x:xf>
    <x:xf numFmtId="0" fontId="12" fillId="9" xfId="0" applyNumberFormat="1" applyFont="1" applyFill="1" applyBorder="0" applyAlignment="1">
      <x:alignment horizontal="center" vertical="center" wrapText="0"/>
    </x:xf>
    <x:xf numFmtId="0" fontId="12" fillId="9" borderId="7" xfId="0" applyNumberFormat="1" applyFont="1" applyFill="1" applyBorder="1" applyAlignment="1">
      <x:alignment horizontal="center" vertical="center" wrapText="0"/>
    </x:xf>
    <x:xf numFmtId="200" fontId="12" fillId="8" xfId="0" applyNumberFormat="1" applyFont="1" applyFill="1" applyBorder="0" applyAlignment="1">
      <x:alignment horizontal="right" vertical="center" wrapText="0"/>
    </x:xf>
    <x:xf numFmtId="200" fontId="12" fillId="9" xfId="0" applyNumberFormat="1" applyFont="1" applyFill="1" applyBorder="0" applyAlignment="1">
      <x:alignment horizontal="right" vertical="center" wrapText="0"/>
    </x:xf>
    <x:xf numFmtId="200" fontId="12" fillId="9" borderId="7" xfId="0" applyNumberFormat="1" applyFont="1" applyFill="1" applyBorder="1" applyAlignment="1">
      <x:alignment horizontal="right" vertical="center" wrapText="0"/>
    </x:xf>
    <x:xf numFmtId="202" fontId="12" fillId="8" xfId="0" applyNumberFormat="1" applyFont="1" applyFill="1" applyBorder="0" applyAlignment="1">
      <x:alignment horizontal="center" vertical="center" wrapText="0"/>
    </x:xf>
    <x:xf numFmtId="202" fontId="12" fillId="9" xfId="0" applyNumberFormat="1" applyFont="1" applyFill="1" applyBorder="0" applyAlignment="1">
      <x:alignment horizontal="center" vertical="center" wrapText="0"/>
    </x:xf>
    <x:xf numFmtId="202" fontId="12" fillId="9" borderId="7" xfId="0" applyNumberFormat="1" applyFont="1" applyFill="1" applyBorder="1" applyAlignment="1">
      <x:alignment horizontal="center" vertical="center" wrapText="0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7" xfId="0" applyNumberFormat="1" applyFont="1" applyFill="1" applyBorder="1"/>
    <x:xf numFmtId="0" fontId="12" fillId="10" borderId="7" xfId="0" applyNumberFormat="1" applyFont="1" applyFill="1" applyBorder="1" applyAlignment="1">
      <x:alignment wrapText="0"/>
    </x:xf>
    <x:xf numFmtId="0" fontId="12" fillId="10" borderId="7" xfId="0" applyNumberFormat="1" applyFont="1" applyFill="1" applyBorder="1" applyAlignment="1">
      <x:alignment vertical="center" wrapText="0"/>
    </x:xf>
    <x:xf numFmtId="0" fontId="12" fillId="10" borderId="7" xfId="0" applyNumberFormat="1" applyFont="1" applyFill="1" applyBorder="1" applyAlignment="1">
      <x:alignment vertical="center" wrapText="1"/>
    </x:xf>
    <x:xf numFmtId="0" fontId="12" fillId="10" borderId="7" xfId="0" applyNumberFormat="1" applyFont="1" applyFill="1" applyBorder="1" applyAlignment="1">
      <x:alignment horizontal="right" vertical="center" wrapText="0"/>
    </x:xf>
    <x:xf numFmtId="0" fontId="12" fillId="10" borderId="7" xfId="0" applyNumberFormat="1" applyFont="1" applyFill="1" applyBorder="1" applyAlignment="1">
      <x:alignment horizontal="center" vertical="center" wrapText="0"/>
    </x:xf>
    <x:xf numFmtId="200" fontId="12" fillId="10" borderId="7" xfId="0" applyNumberFormat="1" applyFont="1" applyFill="1" applyBorder="1" applyAlignment="1">
      <x:alignment horizontal="right" vertical="center" wrapText="0"/>
    </x:xf>
    <x:xf numFmtId="202" fontId="12" fillId="10" borderId="7" xfId="0" applyNumberFormat="1" applyFont="1" applyFill="1" applyBorder="1" applyAlignment="1">
      <x:alignment horizontal="center" vertical="center" wrapText="0"/>
    </x:xf>
    <x:xf numFmtId="0" fontId="12" fillId="11" xfId="0" applyNumberFormat="1" applyFont="1" applyFill="1" applyBorder="0" applyAlignment="1">
      <x:alignment vertical="center" wrapText="0"/>
    </x:xf>
    <x:xf numFmtId="0" fontId="12" fillId="12" xfId="0" applyNumberFormat="1" applyFont="1" applyFill="1" applyBorder="0" applyAlignment="1">
      <x:alignment vertical="center" wrapText="0"/>
    </x:xf>
    <x:xf numFmtId="0" fontId="12" fillId="11" borderId="7" xfId="0" applyNumberFormat="1" applyFont="1" applyFill="1" applyBorder="1" applyAlignment="1">
      <x:alignment vertical="center" wrapText="0"/>
    </x:xf>
    <x:xf numFmtId="0" fontId="12" fillId="11" xfId="0" applyNumberFormat="1" applyFont="1" applyFill="1" applyBorder="0" applyAlignment="1">
      <x:alignment vertical="center" wrapText="1"/>
    </x:xf>
    <x:xf numFmtId="0" fontId="12" fillId="12" xfId="0" applyNumberFormat="1" applyFont="1" applyFill="1" applyBorder="0" applyAlignment="1">
      <x:alignment vertical="center" wrapText="1"/>
    </x:xf>
    <x:xf numFmtId="0" fontId="12" fillId="11" borderId="7" xfId="0" applyNumberFormat="1" applyFont="1" applyFill="1" applyBorder="1" applyAlignment="1">
      <x:alignment vertical="center" wrapText="1"/>
    </x:xf>
    <x:xf numFmtId="0" fontId="12" fillId="11" xfId="0" applyNumberFormat="1" applyFont="1" applyFill="1" applyBorder="0" applyAlignment="1">
      <x:alignment horizontal="right" vertical="center" wrapText="0"/>
    </x:xf>
    <x:xf numFmtId="0" fontId="12" fillId="12" xfId="0" applyNumberFormat="1" applyFont="1" applyFill="1" applyBorder="0" applyAlignment="1">
      <x:alignment horizontal="right" vertical="center" wrapText="0"/>
    </x:xf>
    <x:xf numFmtId="0" fontId="12" fillId="11" borderId="7" xfId="0" applyNumberFormat="1" applyFont="1" applyFill="1" applyBorder="1" applyAlignment="1">
      <x:alignment horizontal="right" vertical="center" wrapText="0"/>
    </x:xf>
    <x:xf numFmtId="0" fontId="12" fillId="11" xfId="0" applyNumberFormat="1" applyFont="1" applyFill="1" applyBorder="0" applyAlignment="1">
      <x:alignment horizontal="center" vertical="center" wrapText="0"/>
    </x:xf>
    <x:xf numFmtId="0" fontId="12" fillId="12" xfId="0" applyNumberFormat="1" applyFont="1" applyFill="1" applyBorder="0" applyAlignment="1">
      <x:alignment horizontal="center" vertical="center" wrapText="0"/>
    </x:xf>
    <x:xf numFmtId="0" fontId="12" fillId="11" borderId="7" xfId="0" applyNumberFormat="1" applyFont="1" applyFill="1" applyBorder="1" applyAlignment="1">
      <x:alignment horizontal="center" vertical="center" wrapText="0"/>
    </x:xf>
    <x:xf numFmtId="200" fontId="12" fillId="11" xfId="0" applyNumberFormat="1" applyFont="1" applyFill="1" applyBorder="0" applyAlignment="1">
      <x:alignment horizontal="right" vertical="center" wrapText="0"/>
    </x:xf>
    <x:xf numFmtId="200" fontId="12" fillId="12" xfId="0" applyNumberFormat="1" applyFont="1" applyFill="1" applyBorder="0" applyAlignment="1">
      <x:alignment horizontal="right" vertical="center" wrapText="0"/>
    </x:xf>
    <x:xf numFmtId="200" fontId="12" fillId="11" borderId="7" xfId="0" applyNumberFormat="1" applyFont="1" applyFill="1" applyBorder="1" applyAlignment="1">
      <x:alignment horizontal="right" vertical="center" wrapText="0"/>
    </x:xf>
    <x:xf numFmtId="202" fontId="12" fillId="11" xfId="0" applyNumberFormat="1" applyFont="1" applyFill="1" applyBorder="0" applyAlignment="1">
      <x:alignment horizontal="center" vertical="center" wrapText="0"/>
    </x:xf>
    <x:xf numFmtId="202" fontId="12" fillId="12" xfId="0" applyNumberFormat="1" applyFont="1" applyFill="1" applyBorder="0" applyAlignment="1">
      <x:alignment horizontal="center" vertical="center" wrapText="0"/>
    </x:xf>
    <x:xf numFmtId="202" fontId="12" fillId="11" borderId="7" xfId="0" applyNumberFormat="1" applyFont="1" applyFill="1" applyBorder="1" applyAlignment="1">
      <x:alignment horizontal="center" vertical="center" wrapText="0"/>
    </x:xf>
    <x:xf numFmtId="0" fontId="12" fillId="13" xfId="0" applyNumberFormat="1" applyFont="1" applyFill="1" applyBorder="0" applyAlignment="1">
      <x:alignment vertical="center" wrapText="0"/>
    </x:xf>
    <x:xf numFmtId="0" fontId="12" fillId="14" xfId="0" applyNumberFormat="1" applyFont="1" applyFill="1" applyBorder="0" applyAlignment="1">
      <x:alignment vertical="center" wrapText="0"/>
    </x:xf>
    <x:xf numFmtId="0" fontId="12" fillId="13" borderId="7" xfId="0" applyNumberFormat="1" applyFont="1" applyFill="1" applyBorder="1" applyAlignment="1">
      <x:alignment vertical="center" wrapText="0"/>
    </x:xf>
    <x:xf numFmtId="0" fontId="12" fillId="13" xfId="0" applyNumberFormat="1" applyFont="1" applyFill="1" applyBorder="0" applyAlignment="1">
      <x:alignment vertical="center" wrapText="1"/>
    </x:xf>
    <x:xf numFmtId="0" fontId="12" fillId="14" xfId="0" applyNumberFormat="1" applyFont="1" applyFill="1" applyBorder="0" applyAlignment="1">
      <x:alignment vertical="center" wrapText="1"/>
    </x:xf>
    <x:xf numFmtId="0" fontId="12" fillId="13" borderId="7" xfId="0" applyNumberFormat="1" applyFont="1" applyFill="1" applyBorder="1" applyAlignment="1">
      <x:alignment vertical="center" wrapText="1"/>
    </x:xf>
    <x:xf numFmtId="0" fontId="12" fillId="13" xfId="0" applyNumberFormat="1" applyFont="1" applyFill="1" applyBorder="0" applyAlignment="1">
      <x:alignment horizontal="right" vertical="center" wrapText="0"/>
    </x:xf>
    <x:xf numFmtId="0" fontId="12" fillId="14" xfId="0" applyNumberFormat="1" applyFont="1" applyFill="1" applyBorder="0" applyAlignment="1">
      <x:alignment horizontal="right" vertical="center" wrapText="0"/>
    </x:xf>
    <x:xf numFmtId="0" fontId="12" fillId="13" borderId="7" xfId="0" applyNumberFormat="1" applyFont="1" applyFill="1" applyBorder="1" applyAlignment="1">
      <x:alignment horizontal="right" vertical="center" wrapText="0"/>
    </x:xf>
    <x:xf numFmtId="0" fontId="12" fillId="13" xfId="0" applyNumberFormat="1" applyFont="1" applyFill="1" applyBorder="0" applyAlignment="1">
      <x:alignment horizontal="center" vertical="center" wrapText="0"/>
    </x:xf>
    <x:xf numFmtId="0" fontId="12" fillId="14" xfId="0" applyNumberFormat="1" applyFont="1" applyFill="1" applyBorder="0" applyAlignment="1">
      <x:alignment horizontal="center" vertical="center" wrapText="0"/>
    </x:xf>
    <x:xf numFmtId="0" fontId="12" fillId="13" borderId="7" xfId="0" applyNumberFormat="1" applyFont="1" applyFill="1" applyBorder="1" applyAlignment="1">
      <x:alignment horizontal="center" vertical="center" wrapText="0"/>
    </x:xf>
    <x:xf numFmtId="200" fontId="12" fillId="13" xfId="0" applyNumberFormat="1" applyFont="1" applyFill="1" applyBorder="0" applyAlignment="1">
      <x:alignment horizontal="right" vertical="center" wrapText="0"/>
    </x:xf>
    <x:xf numFmtId="200" fontId="12" fillId="14" xfId="0" applyNumberFormat="1" applyFont="1" applyFill="1" applyBorder="0" applyAlignment="1">
      <x:alignment horizontal="right" vertical="center" wrapText="0"/>
    </x:xf>
    <x:xf numFmtId="200" fontId="12" fillId="13" borderId="7" xfId="0" applyNumberFormat="1" applyFont="1" applyFill="1" applyBorder="1" applyAlignment="1">
      <x:alignment horizontal="right" vertical="center" wrapText="0"/>
    </x:xf>
    <x:xf numFmtId="202" fontId="12" fillId="13" xfId="0" applyNumberFormat="1" applyFont="1" applyFill="1" applyBorder="0" applyAlignment="1">
      <x:alignment horizontal="center" vertical="center" wrapText="0"/>
    </x:xf>
    <x:xf numFmtId="202" fontId="12" fillId="14" xfId="0" applyNumberFormat="1" applyFont="1" applyFill="1" applyBorder="0" applyAlignment="1">
      <x:alignment horizontal="center" vertical="center" wrapText="0"/>
    </x:xf>
    <x:xf numFmtId="202" fontId="12" fillId="13" borderId="7" xfId="0" applyNumberFormat="1" applyFont="1" applyFill="1" applyBorder="1" applyAlignment="1">
      <x:alignment horizontal="center" vertical="center" wrapText="0"/>
    </x:xf>
    <x:xf numFmtId="202" fontId="3" fillId="5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0be3fe5ae489a" /><Relationship Type="http://schemas.openxmlformats.org/officeDocument/2006/relationships/theme" Target="/xl/theme/theme1.xml" Id="R4ed9e9ef1d5e4460" /><Relationship Type="http://schemas.openxmlformats.org/officeDocument/2006/relationships/sharedStrings" Target="/xl/sharedStrings.xml" Id="R571055501be04f02" /><Relationship Type="http://schemas.openxmlformats.org/officeDocument/2006/relationships/worksheet" Target="/xl/worksheets/sheet1.xml" Id="R278bb2551c7748e3" /><Relationship Type="http://schemas.openxmlformats.org/officeDocument/2006/relationships/worksheet" Target="/xl/worksheets/sheet2.xml" Id="R459c318a253b45ea" /><Relationship Type="http://schemas.openxmlformats.org/officeDocument/2006/relationships/worksheet" Target="/xl/worksheets/sheet3.xml" Id="R336099e4b0e94b20" /></Relationships>
</file>

<file path=xl/tables/table1.xml><?xml version="1.0" encoding="utf-8"?>
<x:table xmlns:x="http://schemas.openxmlformats.org/spreadsheetml/2006/main" id="1" name="AssetsTable" displayName="AssetsTable" ref="A6:R76" headerRowCount="1" totalsRowCount="0" totalsRowShown="0">
  <x:autoFilter ref="A6:R76"/>
  <x:tableColumns count="18">
    <x:tableColumn id="1" name="资产编号"/>
    <x:tableColumn id="2" name="管理类别"/>
    <x:tableColumn id="3" name="资产属性"/>
    <x:tableColumn id="4" name="资产名称"/>
    <x:tableColumn id="5" name="规格/型号"/>
    <x:tableColumn id="6" name="采购数量"/>
    <x:tableColumn id="7" name="单价（元）"/>
    <x:tableColumn id="8" name="资产原值（元）"/>
    <x:tableColumn id="9" name="购置日期"/>
    <x:tableColumn id="10" name="供应商/店铺"/>
    <x:tableColumn id="11" name="存放地点"/>
    <x:tableColumn id="12" name="使用部门"/>
    <x:tableColumn id="13" name="责任人"/>
    <x:tableColumn id="14" name="使用状态"/>
    <x:tableColumn id="15" name="盘点状态"/>
    <x:tableColumn id="16" name="来源分表"/>
    <x:tableColumn id="17" name="来源行号"/>
    <x:tableColumn id="18" name="采购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01e394cbb742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24" hidden="0" customWidth="1"/>
    <x:col min="5" max="5" width="34" hidden="0" customWidth="1"/>
    <x:col min="6" max="6" width="10" hidden="0" customWidth="1"/>
    <x:col min="7" max="7" width="12" hidden="0" customWidth="1"/>
    <x:col min="8" max="8" width="14" hidden="0" customWidth="1"/>
    <x:col min="9" max="9" width="13" hidden="0" customWidth="1"/>
    <x:col min="10" max="10" width="25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0" hidden="0" customWidth="1"/>
    <x:col min="18" max="18" width="38" hidden="0" customWidth="1"/>
  </x:cols>
  <x:sheetData>
    <x:row r="1" ht="34" customHeight="1">
      <x:c r="A1" s="4" t="str">
        <x:v>资产清单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0" customHeight="1">
      <x:c r="A2" s="9" t="str">
        <x:v>口径：纳入全部实物采购；运费、快递费和打包费单列于“未纳入资产”。存放地点、使用部门、责任人、使用状态及盘点状态请按实际补录。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3" ht="26" customHeight="1">
      <x:c r="A3" s="18" t="str">
        <x:v>资产条目数</x:v>
      </x:c>
      <x:c r="B3" s="19"/>
      <x:c r="C3" s="20"/>
      <x:c r="D3" s="27" t="n">
        <x:f>COUNTA(A7:A76)</x:f>
        <x:v>70</x:v>
      </x:c>
      <x:c r="E3" s="28"/>
      <x:c r="F3" s="18" t="str">
        <x:v>实物采购数量</x:v>
      </x:c>
      <x:c r="G3" s="19"/>
      <x:c r="H3" s="20"/>
      <x:c r="I3" s="27" t="n">
        <x:f>SUM(F7:F76)</x:f>
        <x:v>102</x:v>
      </x:c>
      <x:c r="J3" s="28"/>
      <x:c r="K3" s="18" t="str">
        <x:v>资产原值（元）</x:v>
      </x:c>
      <x:c r="L3" s="19"/>
      <x:c r="M3" s="20"/>
      <x:c r="N3" s="32" t="n">
        <x:f>SUM(H7:H76)</x:f>
        <x:v>6672.69</x:v>
      </x:c>
      <x:c r="O3" s="33"/>
      <x:c r="P3" s="33"/>
      <x:c r="Q3" s="33"/>
      <x:c r="R3" s="34"/>
    </x:row>
    <x:row r="6" ht="30" customHeight="1">
      <x:c r="A6" s="47" t="str">
        <x:v>资产编号</x:v>
      </x:c>
      <x:c r="B6" s="48" t="str">
        <x:v>管理类别</x:v>
      </x:c>
      <x:c r="C6" s="48" t="str">
        <x:v>资产属性</x:v>
      </x:c>
      <x:c r="D6" s="48" t="str">
        <x:v>资产名称</x:v>
      </x:c>
      <x:c r="E6" s="48" t="str">
        <x:v>规格/型号</x:v>
      </x:c>
      <x:c r="F6" s="48" t="str">
        <x:v>采购数量</x:v>
      </x:c>
      <x:c r="G6" s="48" t="str">
        <x:v>单价（元）</x:v>
      </x:c>
      <x:c r="H6" s="48" t="str">
        <x:v>资产原值（元）</x:v>
      </x:c>
      <x:c r="I6" s="48" t="str">
        <x:v>购置日期</x:v>
      </x:c>
      <x:c r="J6" s="48" t="str">
        <x:v>供应商/店铺</x:v>
      </x:c>
      <x:c r="K6" s="48" t="str">
        <x:v>存放地点</x:v>
      </x:c>
      <x:c r="L6" s="48" t="str">
        <x:v>使用部门</x:v>
      </x:c>
      <x:c r="M6" s="48" t="str">
        <x:v>责任人</x:v>
      </x:c>
      <x:c r="N6" s="48" t="str">
        <x:v>使用状态</x:v>
      </x:c>
      <x:c r="O6" s="48" t="str">
        <x:v>盘点状态</x:v>
      </x:c>
      <x:c r="P6" s="48" t="str">
        <x:v>来源分表</x:v>
      </x:c>
      <x:c r="Q6" s="48" t="str">
        <x:v>来源行号</x:v>
      </x:c>
      <x:c r="R6" s="49" t="str">
        <x:v>采购备注</x:v>
      </x:c>
    </x:row>
    <x:row r="7" ht="28" customHeight="1">
      <x:c r="A7" s="64" t="str">
        <x:v>ZC-20260713-001</x:v>
      </x:c>
      <x:c r="B7" s="64" t="str">
        <x:v>材料耗材</x:v>
      </x:c>
      <x:c r="C7" s="64" t="str">
        <x:v>低值易耗品</x:v>
      </x:c>
      <x:c r="D7" s="59" t="str">
        <x:v>绿林高纯度锡丝</x:v>
      </x:c>
      <x:c r="E7" s="59" t="str">
        <x:v>自带松香/无铅低温</x:v>
      </x:c>
      <x:c r="F7" s="61" t="n">
        <x:v>1</x:v>
      </x:c>
      <x:c r="G7" s="62" t="n">
        <x:v>15.8</x:v>
      </x:c>
      <x:c r="H7" s="62" t="n">
        <x:v>15.8</x:v>
      </x:c>
      <x:c r="I7" s="63" t="n">
        <x:v>46216</x:v>
      </x:c>
      <x:c r="J7" s="59" t="str">
        <x:v>绿林官方旗舰店</x:v>
      </x:c>
      <x:c r="K7" s="59" t="str"/>
      <x:c r="L7" s="59" t="str"/>
      <x:c r="M7" s="59" t="str"/>
      <x:c r="N7" s="59" t="str"/>
      <x:c r="O7" s="59" t="str"/>
      <x:c r="P7" s="59" t="str">
        <x:v>2026-07-13</x:v>
      </x:c>
      <x:c r="Q7" s="60" t="n">
        <x:v>4</x:v>
      </x:c>
      <x:c r="R7" s="59" t="str"/>
    </x:row>
    <x:row r="8" ht="28" customHeight="1">
      <x:c r="A8" s="64" t="str">
        <x:v>ZC-20260713-002</x:v>
      </x:c>
      <x:c r="B8" s="64" t="str">
        <x:v>材料耗材</x:v>
      </x:c>
      <x:c r="C8" s="64" t="str">
        <x:v>低值易耗品</x:v>
      </x:c>
      <x:c r="D8" s="59" t="str">
        <x:v>绿林烙铁头（刀头）</x:v>
      </x:c>
      <x:c r="E8" s="59" t="str">
        <x:v>通用936内热式</x:v>
      </x:c>
      <x:c r="F8" s="61" t="n">
        <x:v>4</x:v>
      </x:c>
      <x:c r="G8" s="62" t="n">
        <x:v>2.61</x:v>
      </x:c>
      <x:c r="H8" s="62" t="n">
        <x:v>10.44</x:v>
      </x:c>
      <x:c r="I8" s="63" t="n">
        <x:v>46216</x:v>
      </x:c>
      <x:c r="J8" s="59" t="str">
        <x:v>绿林官方旗舰店</x:v>
      </x:c>
      <x:c r="K8" s="59" t="str"/>
      <x:c r="L8" s="59" t="str"/>
      <x:c r="M8" s="59" t="str"/>
      <x:c r="N8" s="59" t="str"/>
      <x:c r="O8" s="59" t="str"/>
      <x:c r="P8" s="59" t="str">
        <x:v>2026-07-13</x:v>
      </x:c>
      <x:c r="Q8" s="60" t="n">
        <x:v>5</x:v>
      </x:c>
      <x:c r="R8" s="59" t="str">
        <x:v>原备注：14</x:v>
      </x:c>
    </x:row>
    <x:row r="9" ht="28" customHeight="1">
      <x:c r="A9" s="64" t="str">
        <x:v>ZC-20260713-003</x:v>
      </x:c>
      <x:c r="B9" s="64" t="str">
        <x:v>工具器具</x:v>
      </x:c>
      <x:c r="C9" s="64" t="str">
        <x:v>可周转资产</x:v>
      </x:c>
      <x:c r="D9" s="59" t="str">
        <x:v>绿林电烙铁</x:v>
      </x:c>
      <x:c r="E9" s="59" t="str">
        <x:v>60W可调温</x:v>
      </x:c>
      <x:c r="F9" s="61" t="n">
        <x:v>1</x:v>
      </x:c>
      <x:c r="G9" s="62" t="n">
        <x:v>25.8</x:v>
      </x:c>
      <x:c r="H9" s="62" t="n">
        <x:v>25.8</x:v>
      </x:c>
      <x:c r="I9" s="63" t="n">
        <x:v>46216</x:v>
      </x:c>
      <x:c r="J9" s="59" t="str">
        <x:v>绿林官方旗舰店</x:v>
      </x:c>
      <x:c r="K9" s="59" t="str"/>
      <x:c r="L9" s="59" t="str"/>
      <x:c r="M9" s="59" t="str"/>
      <x:c r="N9" s="59" t="str"/>
      <x:c r="O9" s="59" t="str"/>
      <x:c r="P9" s="59" t="str">
        <x:v>2026-07-13</x:v>
      </x:c>
      <x:c r="Q9" s="60" t="n">
        <x:v>6</x:v>
      </x:c>
      <x:c r="R9" s="59" t="str"/>
    </x:row>
    <x:row r="10" ht="28" customHeight="1">
      <x:c r="A10" s="64" t="str">
        <x:v>ZC-20260713-004</x:v>
      </x:c>
      <x:c r="B10" s="64" t="str">
        <x:v>设备及装置</x:v>
      </x:c>
      <x:c r="C10" s="64" t="str">
        <x:v>可周转资产</x:v>
      </x:c>
      <x:c r="D10" s="59" t="str">
        <x:v>80W航模平衡充电器</x:v>
      </x:c>
      <x:c r="E10" s="59" t="str">
        <x:v>BT2.0第3版/支持1-6S</x:v>
      </x:c>
      <x:c r="F10" s="61" t="n">
        <x:v>1</x:v>
      </x:c>
      <x:c r="G10" s="62" t="n">
        <x:v>149.9</x:v>
      </x:c>
      <x:c r="H10" s="62" t="n">
        <x:v>149.9</x:v>
      </x:c>
      <x:c r="I10" s="63" t="n">
        <x:v>46216</x:v>
      </x:c>
      <x:c r="J10" s="59" t="str">
        <x:v>零轴电子科技企业店</x:v>
      </x:c>
      <x:c r="K10" s="59" t="str"/>
      <x:c r="L10" s="59" t="str"/>
      <x:c r="M10" s="59" t="str"/>
      <x:c r="N10" s="59" t="str"/>
      <x:c r="O10" s="59" t="str"/>
      <x:c r="P10" s="59" t="str">
        <x:v>2026-07-13</x:v>
      </x:c>
      <x:c r="Q10" s="60" t="n">
        <x:v>7</x:v>
      </x:c>
      <x:c r="R10" s="59" t="str">
        <x:v>原备注：14</x:v>
      </x:c>
    </x:row>
    <x:row r="11" ht="28" customHeight="1">
      <x:c r="A11" s="64" t="str">
        <x:v>ZC-20260713-005</x:v>
      </x:c>
      <x:c r="B11" s="64" t="str">
        <x:v>电子元器件</x:v>
      </x:c>
      <x:c r="C11" s="64" t="str">
        <x:v>项目组件</x:v>
      </x:c>
      <x:c r="D11" s="59" t="str">
        <x:v>XT60 Hub分电板</x:v>
      </x:c>
      <x:c r="E11" s="59" t="str">
        <x:v>一拖四扩展板/集线器</x:v>
      </x:c>
      <x:c r="F11" s="61" t="n">
        <x:v>1</x:v>
      </x:c>
      <x:c r="G11" s="62" t="n">
        <x:v>29.9</x:v>
      </x:c>
      <x:c r="H11" s="62" t="n">
        <x:v>29.9</x:v>
      </x:c>
      <x:c r="I11" s="63" t="n">
        <x:v>46216</x:v>
      </x:c>
      <x:c r="J11" s="59" t="str">
        <x:v>Autoro电子科技</x:v>
      </x:c>
      <x:c r="K11" s="59" t="str"/>
      <x:c r="L11" s="59" t="str"/>
      <x:c r="M11" s="59" t="str"/>
      <x:c r="N11" s="59" t="str"/>
      <x:c r="O11" s="59" t="str"/>
      <x:c r="P11" s="59" t="str">
        <x:v>2026-07-13</x:v>
      </x:c>
      <x:c r="Q11" s="60" t="n">
        <x:v>8</x:v>
      </x:c>
      <x:c r="R11" s="59" t="str">
        <x:v>原备注：14</x:v>
      </x:c>
    </x:row>
    <x:row r="12" ht="28" customHeight="1">
      <x:c r="A12" s="64" t="str">
        <x:v>ZC-20260713-006</x:v>
      </x:c>
      <x:c r="B12" s="64" t="str">
        <x:v>电子元器件</x:v>
      </x:c>
      <x:c r="C12" s="64" t="str">
        <x:v>项目组件</x:v>
      </x:c>
      <x:c r="D12" s="59" t="str">
        <x:v>博立方电源模块</x:v>
      </x:c>
      <x:c r="E12" s="59" t="str">
        <x:v>支持2S-12S/带5.3V BEC/XT60</x:v>
      </x:c>
      <x:c r="F12" s="61" t="n">
        <x:v>1</x:v>
      </x:c>
      <x:c r="G12" s="62" t="n">
        <x:v>71.24</x:v>
      </x:c>
      <x:c r="H12" s="62" t="n">
        <x:v>71.24</x:v>
      </x:c>
      <x:c r="I12" s="63" t="n">
        <x:v>46216</x:v>
      </x:c>
      <x:c r="J12" s="59" t="str">
        <x:v>博立方无人机企业店</x:v>
      </x:c>
      <x:c r="K12" s="59" t="str"/>
      <x:c r="L12" s="59" t="str"/>
      <x:c r="M12" s="59" t="str"/>
      <x:c r="N12" s="59" t="str"/>
      <x:c r="O12" s="59" t="str"/>
      <x:c r="P12" s="59" t="str">
        <x:v>2026-07-13</x:v>
      </x:c>
      <x:c r="Q12" s="60" t="n">
        <x:v>9</x:v>
      </x:c>
      <x:c r="R12" s="59" t="str">
        <x:v>原备注：14</x:v>
      </x:c>
    </x:row>
    <x:row r="13" ht="28" customHeight="1">
      <x:c r="A13" s="64" t="str">
        <x:v>ZC-20260713-007</x:v>
      </x:c>
      <x:c r="B13" s="64" t="str">
        <x:v>设备及装置</x:v>
      </x:c>
      <x:c r="C13" s="64" t="str">
        <x:v>可周转资产</x:v>
      </x:c>
      <x:c r="D13" s="59" t="str">
        <x:v>航模锂电池</x:v>
      </x:c>
      <x:c r="E13" s="59" t="str">
        <x:v>14.8V 5000mAh 长条</x:v>
      </x:c>
      <x:c r="F13" s="61" t="n">
        <x:v>1</x:v>
      </x:c>
      <x:c r="G13" s="62" t="n">
        <x:v>74.82</x:v>
      </x:c>
      <x:c r="H13" s="62" t="n">
        <x:v>74.82</x:v>
      </x:c>
      <x:c r="I13" s="63" t="n">
        <x:v>46216</x:v>
      </x:c>
      <x:c r="J13" s="59" t="str">
        <x:v>阳河科技</x:v>
      </x:c>
      <x:c r="K13" s="59" t="str"/>
      <x:c r="L13" s="59" t="str"/>
      <x:c r="M13" s="59" t="str"/>
      <x:c r="N13" s="59" t="str"/>
      <x:c r="O13" s="59" t="str"/>
      <x:c r="P13" s="59" t="str">
        <x:v>2026-07-13</x:v>
      </x:c>
      <x:c r="Q13" s="60" t="n">
        <x:v>10</x:v>
      </x:c>
      <x:c r="R13" s="59" t="str">
        <x:v>5000mAh仅做调试使用，后续再选择大容量电池</x:v>
      </x:c>
    </x:row>
    <x:row r="14" ht="28" customHeight="1">
      <x:c r="A14" s="64" t="str">
        <x:v>ZC-20260713-008</x:v>
      </x:c>
      <x:c r="B14" s="64" t="str">
        <x:v>仪器仪表</x:v>
      </x:c>
      <x:c r="C14" s="64" t="str">
        <x:v>可周转资产</x:v>
      </x:c>
      <x:c r="D14" s="59" t="str">
        <x:v>水下测距传感器</x:v>
      </x:c>
      <x:c r="E14" s="59" t="str">
        <x:v>3米量程/8-800cm</x:v>
      </x:c>
      <x:c r="F14" s="61" t="n">
        <x:v>1</x:v>
      </x:c>
      <x:c r="G14" s="62" t="n">
        <x:v>103</x:v>
      </x:c>
      <x:c r="H14" s="62" t="n">
        <x:v>103</x:v>
      </x:c>
      <x:c r="I14" s="63" t="n">
        <x:v>46216</x:v>
      </x:c>
      <x:c r="J14" s="59" t="str">
        <x:v>深圳市电应普科技</x:v>
      </x:c>
      <x:c r="K14" s="59" t="str"/>
      <x:c r="L14" s="59" t="str"/>
      <x:c r="M14" s="59" t="str"/>
      <x:c r="N14" s="59" t="str"/>
      <x:c r="O14" s="59" t="str"/>
      <x:c r="P14" s="59" t="str">
        <x:v>2026-07-13</x:v>
      </x:c>
      <x:c r="Q14" s="60" t="n">
        <x:v>11</x:v>
      </x:c>
      <x:c r="R14" s="59" t="str">
        <x:v>原备注：14</x:v>
      </x:c>
    </x:row>
    <x:row r="15" ht="28" customHeight="1">
      <x:c r="A15" s="64" t="str">
        <x:v>ZC-20260713-009</x:v>
      </x:c>
      <x:c r="B15" s="64" t="str">
        <x:v>设备及装置</x:v>
      </x:c>
      <x:c r="C15" s="64" t="str">
        <x:v>可周转资产</x:v>
      </x:c>
      <x:c r="D15" s="59" t="str">
        <x:v>TS60水下推进器</x:v>
      </x:c>
      <x:c r="E15" s="59" t="str">
        <x:v>蓝黑500/12V</x:v>
      </x:c>
      <x:c r="F15" s="61" t="n">
        <x:v>1</x:v>
      </x:c>
      <x:c r="G15" s="62" t="n">
        <x:v>189</x:v>
      </x:c>
      <x:c r="H15" s="62" t="n">
        <x:v>189</x:v>
      </x:c>
      <x:c r="I15" s="63" t="n">
        <x:v>46216</x:v>
      </x:c>
      <x:c r="J15" s="59" t="str">
        <x:v>淘宝店铺</x:v>
      </x:c>
      <x:c r="K15" s="59" t="str"/>
      <x:c r="L15" s="59" t="str"/>
      <x:c r="M15" s="59" t="str"/>
      <x:c r="N15" s="59" t="str"/>
      <x:c r="O15" s="59" t="str"/>
      <x:c r="P15" s="59" t="str">
        <x:v>2026-07-13</x:v>
      </x:c>
      <x:c r="Q15" s="60" t="n">
        <x:v>12</x:v>
      </x:c>
      <x:c r="R15" s="59" t="str">
        <x:v>先买一个做调试，后续需购足4个</x:v>
      </x:c>
    </x:row>
    <x:row r="16" ht="28" customHeight="1">
      <x:c r="A16" s="64" t="str">
        <x:v>ZC-20260713-010</x:v>
      </x:c>
      <x:c r="B16" s="64" t="str">
        <x:v>仪器仪表</x:v>
      </x:c>
      <x:c r="C16" s="64" t="str">
        <x:v>可周转资产</x:v>
      </x:c>
      <x:c r="D16" s="59" t="str">
        <x:v>深度计</x:v>
      </x:c>
      <x:c r="E16" s="59" t="str">
        <x:v>MS5837-30Ba TB30</x:v>
      </x:c>
      <x:c r="F16" s="61" t="n">
        <x:v>1</x:v>
      </x:c>
      <x:c r="G16" s="62" t="n">
        <x:v>199</x:v>
      </x:c>
      <x:c r="H16" s="62" t="n">
        <x:v>199</x:v>
      </x:c>
      <x:c r="I16" s="63" t="n">
        <x:v>46216</x:v>
      </x:c>
      <x:c r="J16" s="59" t="str">
        <x:v>淘宝店铺</x:v>
      </x:c>
      <x:c r="K16" s="59" t="str"/>
      <x:c r="L16" s="59" t="str"/>
      <x:c r="M16" s="59" t="str"/>
      <x:c r="N16" s="59" t="str"/>
      <x:c r="O16" s="59" t="str"/>
      <x:c r="P16" s="59" t="str">
        <x:v>2026-07-13</x:v>
      </x:c>
      <x:c r="Q16" s="60" t="n">
        <x:v>13</x:v>
      </x:c>
      <x:c r="R16" s="59" t="str"/>
    </x:row>
    <x:row r="17" ht="28" customHeight="1">
      <x:c r="A17" s="64" t="str">
        <x:v>ZC-20260713-011</x:v>
      </x:c>
      <x:c r="B17" s="64" t="str">
        <x:v>设备及装置</x:v>
      </x:c>
      <x:c r="C17" s="64" t="str">
        <x:v>可周转资产</x:v>
      </x:c>
      <x:c r="D17" s="59" t="str">
        <x:v>双向无刷电机电调</x:v>
      </x:c>
      <x:c r="E17" s="59" t="str">
        <x:v>35A水下动力</x:v>
      </x:c>
      <x:c r="F17" s="61" t="n">
        <x:v>1</x:v>
      </x:c>
      <x:c r="G17" s="62" t="n">
        <x:v>95</x:v>
      </x:c>
      <x:c r="H17" s="62" t="n">
        <x:v>95</x:v>
      </x:c>
      <x:c r="I17" s="63" t="n">
        <x:v>46216</x:v>
      </x:c>
      <x:c r="J17" s="59" t="str">
        <x:v>淘宝店铺</x:v>
      </x:c>
      <x:c r="K17" s="59" t="str"/>
      <x:c r="L17" s="59" t="str"/>
      <x:c r="M17" s="59" t="str"/>
      <x:c r="N17" s="59" t="str"/>
      <x:c r="O17" s="59" t="str"/>
      <x:c r="P17" s="59" t="str">
        <x:v>2026-07-13</x:v>
      </x:c>
      <x:c r="Q17" s="60" t="n">
        <x:v>14</x:v>
      </x:c>
      <x:c r="R17" s="59" t="str">
        <x:v>先买一个做调试，后续需购足4个</x:v>
      </x:c>
    </x:row>
    <x:row r="18" ht="28" customHeight="1">
      <x:c r="A18" s="64" t="str">
        <x:v>ZC-20260713-012</x:v>
      </x:c>
      <x:c r="B18" s="64" t="str">
        <x:v>设备及装置</x:v>
      </x:c>
      <x:c r="C18" s="64" t="str">
        <x:v>可周转资产</x:v>
      </x:c>
      <x:c r="D18" s="59" t="str">
        <x:v>树莓派4B开发板</x:v>
      </x:c>
      <x:c r="E18" s="59" t="str">
        <x:v>4B/4G基础套餐</x:v>
      </x:c>
      <x:c r="F18" s="61" t="n">
        <x:v>1</x:v>
      </x:c>
      <x:c r="G18" s="62" t="n">
        <x:v>1511.21</x:v>
      </x:c>
      <x:c r="H18" s="62" t="n">
        <x:v>1511.21</x:v>
      </x:c>
      <x:c r="I18" s="63" t="n">
        <x:v>46216</x:v>
      </x:c>
      <x:c r="J18" s="59" t="str">
        <x:v>淘宝店铺</x:v>
      </x:c>
      <x:c r="K18" s="59" t="str"/>
      <x:c r="L18" s="59" t="str"/>
      <x:c r="M18" s="59" t="str"/>
      <x:c r="N18" s="59" t="str"/>
      <x:c r="O18" s="59" t="str"/>
      <x:c r="P18" s="59" t="str">
        <x:v>2026-07-13</x:v>
      </x:c>
      <x:c r="Q18" s="60" t="n">
        <x:v>15</x:v>
      </x:c>
      <x:c r="R18" s="59" t="str"/>
    </x:row>
    <x:row r="19" ht="28" customHeight="1">
      <x:c r="A19" s="64" t="str">
        <x:v>ZC-20260713-013</x:v>
      </x:c>
      <x:c r="B19" s="64" t="str">
        <x:v>设备及装置</x:v>
      </x:c>
      <x:c r="C19" s="64" t="str">
        <x:v>可周转资产</x:v>
      </x:c>
      <x:c r="D19" s="59" t="str">
        <x:v>Pixhawk 2.4.8飞控</x:v>
      </x:c>
      <x:c r="E19" s="59" t="str">
        <x:v>无GPS/刷好Ardusub</x:v>
      </x:c>
      <x:c r="F19" s="61" t="n">
        <x:v>1</x:v>
      </x:c>
      <x:c r="G19" s="62" t="n">
        <x:v>599</x:v>
      </x:c>
      <x:c r="H19" s="62" t="n">
        <x:v>599</x:v>
      </x:c>
      <x:c r="I19" s="63" t="n">
        <x:v>46216</x:v>
      </x:c>
      <x:c r="J19" s="59" t="str">
        <x:v>初将科技</x:v>
      </x:c>
      <x:c r="K19" s="59" t="str"/>
      <x:c r="L19" s="59" t="str"/>
      <x:c r="M19" s="59" t="str"/>
      <x:c r="N19" s="59" t="str"/>
      <x:c r="O19" s="59" t="str"/>
      <x:c r="P19" s="59" t="str">
        <x:v>2026-07-13</x:v>
      </x:c>
      <x:c r="Q19" s="60" t="n">
        <x:v>16</x:v>
      </x:c>
      <x:c r="R19" s="59" t="str"/>
    </x:row>
    <x:row r="20" ht="28" customHeight="1">
      <x:c r="A20" s="64" t="str">
        <x:v>ZC-20260721-001</x:v>
      </x:c>
      <x:c r="B20" s="64" t="str">
        <x:v>工具器具</x:v>
      </x:c>
      <x:c r="C20" s="64" t="str">
        <x:v>可周转资产</x:v>
      </x:c>
      <x:c r="D20" s="59" t="str">
        <x:v>德力西小螺丝刀套装</x:v>
      </x:c>
      <x:c r="E20" s="59" t="str">
        <x:v>45合一/S2+CR-V材质</x:v>
      </x:c>
      <x:c r="F20" s="61" t="n">
        <x:v>1</x:v>
      </x:c>
      <x:c r="G20" s="62" t="n">
        <x:v>27.7</x:v>
      </x:c>
      <x:c r="H20" s="62" t="n">
        <x:v>27.7</x:v>
      </x:c>
      <x:c r="I20" s="63" t="n">
        <x:v>46224</x:v>
      </x:c>
      <x:c r="J20" s="59" t="str">
        <x:v>德力西手动工具旗舰店</x:v>
      </x:c>
      <x:c r="K20" s="59" t="str"/>
      <x:c r="L20" s="59" t="str"/>
      <x:c r="M20" s="59" t="str"/>
      <x:c r="N20" s="59" t="str"/>
      <x:c r="O20" s="59" t="str"/>
      <x:c r="P20" s="59" t="str">
        <x:v>2026-07-21</x:v>
      </x:c>
      <x:c r="Q20" s="60" t="n">
        <x:v>4</x:v>
      </x:c>
      <x:c r="R20" s="59" t="str">
        <x:v>优惠后实付价27.70元；订单页显示实付款0元；订单号3313250403681008294</x:v>
      </x:c>
    </x:row>
    <x:row r="21" ht="28" customHeight="1">
      <x:c r="A21" s="64" t="str">
        <x:v>ZC-20260722-001</x:v>
      </x:c>
      <x:c r="B21" s="64" t="str">
        <x:v>材料耗材</x:v>
      </x:c>
      <x:c r="C21" s="64" t="str">
        <x:v>低值易耗品</x:v>
      </x:c>
      <x:c r="D21" s="59" t="str">
        <x:v>单头六角铜柱</x:v>
      </x:c>
      <x:c r="E21" s="59" t="str">
        <x:v>M3×12+3/50支</x:v>
      </x:c>
      <x:c r="F21" s="61" t="n">
        <x:v>1</x:v>
      </x:c>
      <x:c r="G21" s="62" t="n">
        <x:v>8.41</x:v>
      </x:c>
      <x:c r="H21" s="62" t="n">
        <x:v>8.41</x:v>
      </x:c>
      <x:c r="I21" s="63" t="n">
        <x:v>46225</x:v>
      </x:c>
      <x:c r="J21" s="59" t="str">
        <x:v>固万基官方旗舰店</x:v>
      </x:c>
      <x:c r="K21" s="59" t="str"/>
      <x:c r="L21" s="59" t="str"/>
      <x:c r="M21" s="59" t="str"/>
      <x:c r="N21" s="59" t="str"/>
      <x:c r="O21" s="59" t="str"/>
      <x:c r="P21" s="59" t="str">
        <x:v>2026-07-22</x:v>
      </x:c>
      <x:c r="Q21" s="60" t="n">
        <x:v>4</x:v>
      </x:c>
      <x:c r="R21" s="59" t="str">
        <x:v>确认订单优惠后价格</x:v>
      </x:c>
    </x:row>
    <x:row r="22" ht="28" customHeight="1">
      <x:c r="A22" s="64" t="str">
        <x:v>ZC-20260722-002</x:v>
      </x:c>
      <x:c r="B22" s="64" t="str">
        <x:v>材料耗材</x:v>
      </x:c>
      <x:c r="C22" s="64" t="str">
        <x:v>低值易耗品</x:v>
      </x:c>
      <x:c r="D22" s="59" t="str">
        <x:v>单头六角铜柱</x:v>
      </x:c>
      <x:c r="E22" s="59" t="str">
        <x:v>M3×6+3/100支</x:v>
      </x:c>
      <x:c r="F22" s="61" t="n">
        <x:v>1</x:v>
      </x:c>
      <x:c r="G22" s="62" t="n">
        <x:v>10.93</x:v>
      </x:c>
      <x:c r="H22" s="62" t="n">
        <x:v>10.93</x:v>
      </x:c>
      <x:c r="I22" s="63" t="n">
        <x:v>46225</x:v>
      </x:c>
      <x:c r="J22" s="59" t="str">
        <x:v>固万基官方旗舰店</x:v>
      </x:c>
      <x:c r="K22" s="59" t="str"/>
      <x:c r="L22" s="59" t="str"/>
      <x:c r="M22" s="59" t="str"/>
      <x:c r="N22" s="59" t="str"/>
      <x:c r="O22" s="59" t="str"/>
      <x:c r="P22" s="59" t="str">
        <x:v>2026-07-22</x:v>
      </x:c>
      <x:c r="Q22" s="60" t="n">
        <x:v>5</x:v>
      </x:c>
      <x:c r="R22" s="59" t="str">
        <x:v>确认订单优惠后价格</x:v>
      </x:c>
    </x:row>
    <x:row r="23" ht="28" customHeight="1">
      <x:c r="A23" s="64" t="str">
        <x:v>ZC-20260722-003</x:v>
      </x:c>
      <x:c r="B23" s="64" t="str">
        <x:v>材料耗材</x:v>
      </x:c>
      <x:c r="C23" s="64" t="str">
        <x:v>低值易耗品</x:v>
      </x:c>
      <x:c r="D23" s="59" t="str">
        <x:v>单头六角铜柱</x:v>
      </x:c>
      <x:c r="E23" s="59" t="str">
        <x:v>M3×15+3/50支</x:v>
      </x:c>
      <x:c r="F23" s="61" t="n">
        <x:v>1</x:v>
      </x:c>
      <x:c r="G23" s="62" t="n">
        <x:v>10.93</x:v>
      </x:c>
      <x:c r="H23" s="62" t="n">
        <x:v>10.93</x:v>
      </x:c>
      <x:c r="I23" s="63" t="n">
        <x:v>46225</x:v>
      </x:c>
      <x:c r="J23" s="59" t="str">
        <x:v>固万基官方旗舰店</x:v>
      </x:c>
      <x:c r="K23" s="59" t="str"/>
      <x:c r="L23" s="59" t="str"/>
      <x:c r="M23" s="59" t="str"/>
      <x:c r="N23" s="59" t="str"/>
      <x:c r="O23" s="59" t="str"/>
      <x:c r="P23" s="59" t="str">
        <x:v>2026-07-22</x:v>
      </x:c>
      <x:c r="Q23" s="60" t="n">
        <x:v>6</x:v>
      </x:c>
      <x:c r="R23" s="59" t="str">
        <x:v>确认订单优惠后价格</x:v>
      </x:c>
    </x:row>
    <x:row r="24" ht="28" customHeight="1">
      <x:c r="A24" s="64" t="str">
        <x:v>ZC-20260722-004</x:v>
      </x:c>
      <x:c r="B24" s="64" t="str">
        <x:v>材料耗材</x:v>
      </x:c>
      <x:c r="C24" s="64" t="str">
        <x:v>低值易耗品</x:v>
      </x:c>
      <x:c r="D24" s="59" t="str">
        <x:v>单头六角铜柱</x:v>
      </x:c>
      <x:c r="E24" s="59" t="str">
        <x:v>M3×20+3/50支</x:v>
      </x:c>
      <x:c r="F24" s="61" t="n">
        <x:v>1</x:v>
      </x:c>
      <x:c r="G24" s="62" t="n">
        <x:v>12.46</x:v>
      </x:c>
      <x:c r="H24" s="62" t="n">
        <x:v>12.46</x:v>
      </x:c>
      <x:c r="I24" s="63" t="n">
        <x:v>46225</x:v>
      </x:c>
      <x:c r="J24" s="59" t="str">
        <x:v>固万基官方旗舰店</x:v>
      </x:c>
      <x:c r="K24" s="59" t="str"/>
      <x:c r="L24" s="59" t="str"/>
      <x:c r="M24" s="59" t="str"/>
      <x:c r="N24" s="59" t="str"/>
      <x:c r="O24" s="59" t="str"/>
      <x:c r="P24" s="59" t="str">
        <x:v>2026-07-22</x:v>
      </x:c>
      <x:c r="Q24" s="60" t="n">
        <x:v>7</x:v>
      </x:c>
      <x:c r="R24" s="59" t="str">
        <x:v>确认订单优惠后价格</x:v>
      </x:c>
    </x:row>
    <x:row r="25" ht="28" customHeight="1">
      <x:c r="A25" s="64" t="str">
        <x:v>ZC-20260722-005</x:v>
      </x:c>
      <x:c r="B25" s="64" t="str">
        <x:v>材料耗材</x:v>
      </x:c>
      <x:c r="C25" s="64" t="str">
        <x:v>低值易耗品</x:v>
      </x:c>
      <x:c r="D25" s="59" t="str">
        <x:v>304不锈钢平垫圈</x:v>
      </x:c>
      <x:c r="E25" s="59" t="str">
        <x:v>M5×8×0.5/200只</x:v>
      </x:c>
      <x:c r="F25" s="61" t="n">
        <x:v>1</x:v>
      </x:c>
      <x:c r="G25" s="62" t="n">
        <x:v>4.04</x:v>
      </x:c>
      <x:c r="H25" s="62" t="n">
        <x:v>4.04</x:v>
      </x:c>
      <x:c r="I25" s="63" t="n">
        <x:v>46225</x:v>
      </x:c>
      <x:c r="J25" s="59" t="str">
        <x:v>固万基官方旗舰店</x:v>
      </x:c>
      <x:c r="K25" s="59" t="str"/>
      <x:c r="L25" s="59" t="str"/>
      <x:c r="M25" s="59" t="str"/>
      <x:c r="N25" s="59" t="str"/>
      <x:c r="O25" s="59" t="str"/>
      <x:c r="P25" s="59" t="str">
        <x:v>2026-07-22</x:v>
      </x:c>
      <x:c r="Q25" s="60" t="n">
        <x:v>8</x:v>
      </x:c>
      <x:c r="R25" s="59" t="str">
        <x:v>确认订单优惠后价格</x:v>
      </x:c>
    </x:row>
    <x:row r="26" ht="28" customHeight="1">
      <x:c r="A26" s="64" t="str">
        <x:v>ZC-20260722-006</x:v>
      </x:c>
      <x:c r="B26" s="64" t="str">
        <x:v>材料耗材</x:v>
      </x:c>
      <x:c r="C26" s="64" t="str">
        <x:v>低值易耗品</x:v>
      </x:c>
      <x:c r="D26" s="59" t="str">
        <x:v>304不锈钢平垫圈</x:v>
      </x:c>
      <x:c r="E26" s="59" t="str">
        <x:v>M4×7×0.5/200只</x:v>
      </x:c>
      <x:c r="F26" s="61" t="n">
        <x:v>1</x:v>
      </x:c>
      <x:c r="G26" s="62" t="n">
        <x:v>3.19</x:v>
      </x:c>
      <x:c r="H26" s="62" t="n">
        <x:v>3.19</x:v>
      </x:c>
      <x:c r="I26" s="63" t="n">
        <x:v>46225</x:v>
      </x:c>
      <x:c r="J26" s="59" t="str">
        <x:v>固万基官方旗舰店</x:v>
      </x:c>
      <x:c r="K26" s="59" t="str"/>
      <x:c r="L26" s="59" t="str"/>
      <x:c r="M26" s="59" t="str"/>
      <x:c r="N26" s="59" t="str"/>
      <x:c r="O26" s="59" t="str"/>
      <x:c r="P26" s="59" t="str">
        <x:v>2026-07-22</x:v>
      </x:c>
      <x:c r="Q26" s="60" t="n">
        <x:v>9</x:v>
      </x:c>
      <x:c r="R26" s="59" t="str">
        <x:v>确认订单优惠后价格</x:v>
      </x:c>
    </x:row>
    <x:row r="27" ht="28" customHeight="1">
      <x:c r="A27" s="64" t="str">
        <x:v>ZC-20260722-007</x:v>
      </x:c>
      <x:c r="B27" s="64" t="str">
        <x:v>材料耗材</x:v>
      </x:c>
      <x:c r="C27" s="64" t="str">
        <x:v>低值易耗品</x:v>
      </x:c>
      <x:c r="D27" s="59" t="str">
        <x:v>304不锈钢平垫圈</x:v>
      </x:c>
      <x:c r="E27" s="59" t="str">
        <x:v>M3×6×0.5/200只</x:v>
      </x:c>
      <x:c r="F27" s="61" t="n">
        <x:v>1</x:v>
      </x:c>
      <x:c r="G27" s="62" t="n">
        <x:v>3.19</x:v>
      </x:c>
      <x:c r="H27" s="62" t="n">
        <x:v>3.19</x:v>
      </x:c>
      <x:c r="I27" s="63" t="n">
        <x:v>46225</x:v>
      </x:c>
      <x:c r="J27" s="59" t="str">
        <x:v>固万基官方旗舰店</x:v>
      </x:c>
      <x:c r="K27" s="59" t="str"/>
      <x:c r="L27" s="59" t="str"/>
      <x:c r="M27" s="59" t="str"/>
      <x:c r="N27" s="59" t="str"/>
      <x:c r="O27" s="59" t="str"/>
      <x:c r="P27" s="59" t="str">
        <x:v>2026-07-22</x:v>
      </x:c>
      <x:c r="Q27" s="60" t="n">
        <x:v>10</x:v>
      </x:c>
      <x:c r="R27" s="59" t="str">
        <x:v>确认订单优惠后价格</x:v>
      </x:c>
    </x:row>
    <x:row r="28" ht="28" customHeight="1">
      <x:c r="A28" s="64" t="str">
        <x:v>ZC-20260722-008</x:v>
      </x:c>
      <x:c r="B28" s="64" t="str">
        <x:v>材料耗材</x:v>
      </x:c>
      <x:c r="C28" s="64" t="str">
        <x:v>低值易耗品</x:v>
      </x:c>
      <x:c r="D28" s="59" t="str">
        <x:v>单头六角铜柱</x:v>
      </x:c>
      <x:c r="E28" s="59" t="str">
        <x:v>M3×100+6/5支</x:v>
      </x:c>
      <x:c r="F28" s="61" t="n">
        <x:v>1</x:v>
      </x:c>
      <x:c r="G28" s="62" t="n">
        <x:v>9.46</x:v>
      </x:c>
      <x:c r="H28" s="62" t="n">
        <x:v>9.46</x:v>
      </x:c>
      <x:c r="I28" s="63" t="n">
        <x:v>46225</x:v>
      </x:c>
      <x:c r="J28" s="59" t="str">
        <x:v>固万基官方旗舰店</x:v>
      </x:c>
      <x:c r="K28" s="59" t="str"/>
      <x:c r="L28" s="59" t="str"/>
      <x:c r="M28" s="59" t="str"/>
      <x:c r="N28" s="59" t="str"/>
      <x:c r="O28" s="59" t="str"/>
      <x:c r="P28" s="59" t="str">
        <x:v>2026-07-22</x:v>
      </x:c>
      <x:c r="Q28" s="60" t="n">
        <x:v>11</x:v>
      </x:c>
      <x:c r="R28" s="59" t="str">
        <x:v>确认订单优惠后价格</x:v>
      </x:c>
    </x:row>
    <x:row r="29" ht="28" customHeight="1">
      <x:c r="A29" s="64" t="str">
        <x:v>ZC-20260722-009</x:v>
      </x:c>
      <x:c r="B29" s="64" t="str">
        <x:v>材料耗材</x:v>
      </x:c>
      <x:c r="C29" s="64" t="str">
        <x:v>低值易耗品</x:v>
      </x:c>
      <x:c r="D29" s="59" t="str">
        <x:v>单头六角铜柱</x:v>
      </x:c>
      <x:c r="E29" s="59" t="str">
        <x:v>M3×24+3/20支</x:v>
      </x:c>
      <x:c r="F29" s="61" t="n">
        <x:v>1</x:v>
      </x:c>
      <x:c r="G29" s="62" t="n">
        <x:v>7.06</x:v>
      </x:c>
      <x:c r="H29" s="62" t="n">
        <x:v>7.06</x:v>
      </x:c>
      <x:c r="I29" s="63" t="n">
        <x:v>46225</x:v>
      </x:c>
      <x:c r="J29" s="59" t="str">
        <x:v>固万基官方旗舰店</x:v>
      </x:c>
      <x:c r="K29" s="59" t="str"/>
      <x:c r="L29" s="59" t="str"/>
      <x:c r="M29" s="59" t="str"/>
      <x:c r="N29" s="59" t="str"/>
      <x:c r="O29" s="59" t="str"/>
      <x:c r="P29" s="59" t="str">
        <x:v>2026-07-22</x:v>
      </x:c>
      <x:c r="Q29" s="60" t="n">
        <x:v>12</x:v>
      </x:c>
      <x:c r="R29" s="59" t="str">
        <x:v>确认订单优惠后价格</x:v>
      </x:c>
    </x:row>
    <x:row r="30" ht="28" customHeight="1">
      <x:c r="A30" s="64" t="str">
        <x:v>ZC-20260722-010</x:v>
      </x:c>
      <x:c r="B30" s="64" t="str">
        <x:v>仪器仪表</x:v>
      </x:c>
      <x:c r="C30" s="64" t="str">
        <x:v>可周转资产</x:v>
      </x:c>
      <x:c r="D30" s="59" t="str">
        <x:v>数字万用表</x:v>
      </x:c>
      <x:c r="E30" s="59" t="str">
        <x:v>多功能智能防烧/标配+备用电池</x:v>
      </x:c>
      <x:c r="F30" s="61" t="n">
        <x:v>1</x:v>
      </x:c>
      <x:c r="G30" s="62" t="n">
        <x:v>18.6</x:v>
      </x:c>
      <x:c r="H30" s="62" t="n">
        <x:v>18.6</x:v>
      </x:c>
      <x:c r="I30" s="63" t="n">
        <x:v>46225</x:v>
      </x:c>
      <x:c r="J30" s="59" t="str">
        <x:v>嘉华仪器仪表批发中心</x:v>
      </x:c>
      <x:c r="K30" s="59" t="str"/>
      <x:c r="L30" s="59" t="str"/>
      <x:c r="M30" s="59" t="str"/>
      <x:c r="N30" s="59" t="str"/>
      <x:c r="O30" s="59" t="str"/>
      <x:c r="P30" s="59" t="str">
        <x:v>2026-07-22</x:v>
      </x:c>
      <x:c r="Q30" s="60" t="n">
        <x:v>13</x:v>
      </x:c>
      <x:c r="R30" s="59" t="str">
        <x:v>确认订单优惠后价格</x:v>
      </x:c>
    </x:row>
    <x:row r="31" ht="28" customHeight="1">
      <x:c r="A31" s="64" t="str">
        <x:v>ZC-20260722-011</x:v>
      </x:c>
      <x:c r="B31" s="64" t="str">
        <x:v>材料耗材</x:v>
      </x:c>
      <x:c r="C31" s="64" t="str">
        <x:v>低值易耗品</x:v>
      </x:c>
      <x:c r="D31" s="59" t="str">
        <x:v>304不锈钢六角螺母</x:v>
      </x:c>
      <x:c r="E31" s="59" t="str">
        <x:v>M5/50个</x:v>
      </x:c>
      <x:c r="F31" s="61" t="n">
        <x:v>1</x:v>
      </x:c>
      <x:c r="G31" s="62" t="n">
        <x:v>2.26</x:v>
      </x:c>
      <x:c r="H31" s="62" t="n">
        <x:v>2.26</x:v>
      </x:c>
      <x:c r="I31" s="63" t="n">
        <x:v>46225</x:v>
      </x:c>
      <x:c r="J31" s="59" t="str">
        <x:v>楚卫旗舰店</x:v>
      </x:c>
      <x:c r="K31" s="59" t="str"/>
      <x:c r="L31" s="59" t="str"/>
      <x:c r="M31" s="59" t="str"/>
      <x:c r="N31" s="59" t="str"/>
      <x:c r="O31" s="59" t="str"/>
      <x:c r="P31" s="59" t="str">
        <x:v>2026-07-22</x:v>
      </x:c>
      <x:c r="Q31" s="60" t="n">
        <x:v>14</x:v>
      </x:c>
      <x:c r="R31" s="59" t="str">
        <x:v>确认订单优惠后价格</x:v>
      </x:c>
    </x:row>
    <x:row r="32" ht="28" customHeight="1">
      <x:c r="A32" s="64" t="str">
        <x:v>ZC-20260722-012</x:v>
      </x:c>
      <x:c r="B32" s="64" t="str">
        <x:v>材料耗材</x:v>
      </x:c>
      <x:c r="C32" s="64" t="str">
        <x:v>低值易耗品</x:v>
      </x:c>
      <x:c r="D32" s="59" t="str">
        <x:v>304不锈钢六角螺母</x:v>
      </x:c>
      <x:c r="E32" s="59" t="str">
        <x:v>M4/100个</x:v>
      </x:c>
      <x:c r="F32" s="61" t="n">
        <x:v>1</x:v>
      </x:c>
      <x:c r="G32" s="62" t="n">
        <x:v>3.18</x:v>
      </x:c>
      <x:c r="H32" s="62" t="n">
        <x:v>3.18</x:v>
      </x:c>
      <x:c r="I32" s="63" t="n">
        <x:v>46225</x:v>
      </x:c>
      <x:c r="J32" s="59" t="str">
        <x:v>楚卫旗舰店</x:v>
      </x:c>
      <x:c r="K32" s="59" t="str"/>
      <x:c r="L32" s="59" t="str"/>
      <x:c r="M32" s="59" t="str"/>
      <x:c r="N32" s="59" t="str"/>
      <x:c r="O32" s="59" t="str"/>
      <x:c r="P32" s="59" t="str">
        <x:v>2026-07-22</x:v>
      </x:c>
      <x:c r="Q32" s="60" t="n">
        <x:v>15</x:v>
      </x:c>
      <x:c r="R32" s="59" t="str">
        <x:v>确认订单优惠后价格</x:v>
      </x:c>
    </x:row>
    <x:row r="33" ht="28" customHeight="1">
      <x:c r="A33" s="64" t="str">
        <x:v>ZC-20260722-013</x:v>
      </x:c>
      <x:c r="B33" s="64" t="str">
        <x:v>材料耗材</x:v>
      </x:c>
      <x:c r="C33" s="64" t="str">
        <x:v>低值易耗品</x:v>
      </x:c>
      <x:c r="D33" s="59" t="str">
        <x:v>304不锈钢六角螺母</x:v>
      </x:c>
      <x:c r="E33" s="59" t="str">
        <x:v>M3/100个</x:v>
      </x:c>
      <x:c r="F33" s="61" t="n">
        <x:v>1</x:v>
      </x:c>
      <x:c r="G33" s="62" t="n">
        <x:v>2.09</x:v>
      </x:c>
      <x:c r="H33" s="62" t="n">
        <x:v>2.09</x:v>
      </x:c>
      <x:c r="I33" s="63" t="n">
        <x:v>46225</x:v>
      </x:c>
      <x:c r="J33" s="59" t="str">
        <x:v>楚卫旗舰店</x:v>
      </x:c>
      <x:c r="K33" s="59" t="str"/>
      <x:c r="L33" s="59" t="str"/>
      <x:c r="M33" s="59" t="str"/>
      <x:c r="N33" s="59" t="str"/>
      <x:c r="O33" s="59" t="str"/>
      <x:c r="P33" s="59" t="str">
        <x:v>2026-07-22</x:v>
      </x:c>
      <x:c r="Q33" s="60" t="n">
        <x:v>16</x:v>
      </x:c>
      <x:c r="R33" s="59" t="str">
        <x:v>确认订单优惠后价格</x:v>
      </x:c>
    </x:row>
    <x:row r="34" ht="28" customHeight="1">
      <x:c r="A34" s="64" t="str">
        <x:v>ZC-20260722-014</x:v>
      </x:c>
      <x:c r="B34" s="64" t="str">
        <x:v>材料耗材</x:v>
      </x:c>
      <x:c r="C34" s="64" t="str">
        <x:v>低值易耗品</x:v>
      </x:c>
      <x:c r="D34" s="59" t="str">
        <x:v>304内六角螺钉</x:v>
      </x:c>
      <x:c r="E34" s="59" t="str">
        <x:v>M3×12/100个</x:v>
      </x:c>
      <x:c r="F34" s="61" t="n">
        <x:v>1</x:v>
      </x:c>
      <x:c r="G34" s="62" t="n">
        <x:v>2.6</x:v>
      </x:c>
      <x:c r="H34" s="62" t="n">
        <x:v>2.6</x:v>
      </x:c>
      <x:c r="I34" s="63" t="n">
        <x:v>46225</x:v>
      </x:c>
      <x:c r="J34" s="59" t="str">
        <x:v>楚卫旗舰店</x:v>
      </x:c>
      <x:c r="K34" s="59" t="str"/>
      <x:c r="L34" s="59" t="str"/>
      <x:c r="M34" s="59" t="str"/>
      <x:c r="N34" s="59" t="str"/>
      <x:c r="O34" s="59" t="str"/>
      <x:c r="P34" s="59" t="str">
        <x:v>2026-07-22</x:v>
      </x:c>
      <x:c r="Q34" s="60" t="n">
        <x:v>17</x:v>
      </x:c>
      <x:c r="R34" s="59" t="str">
        <x:v>确认订单优惠后价格</x:v>
      </x:c>
    </x:row>
    <x:row r="35" ht="28" customHeight="1">
      <x:c r="A35" s="64" t="str">
        <x:v>ZC-20260722-015</x:v>
      </x:c>
      <x:c r="B35" s="64" t="str">
        <x:v>材料耗材</x:v>
      </x:c>
      <x:c r="C35" s="64" t="str">
        <x:v>低值易耗品</x:v>
      </x:c>
      <x:c r="D35" s="59" t="str">
        <x:v>304十字圆头螺钉</x:v>
      </x:c>
      <x:c r="E35" s="59" t="str">
        <x:v>M5×12/50个</x:v>
      </x:c>
      <x:c r="F35" s="61" t="n">
        <x:v>1</x:v>
      </x:c>
      <x:c r="G35" s="62" t="n">
        <x:v>4.78</x:v>
      </x:c>
      <x:c r="H35" s="62" t="n">
        <x:v>4.78</x:v>
      </x:c>
      <x:c r="I35" s="63" t="n">
        <x:v>46225</x:v>
      </x:c>
      <x:c r="J35" s="59" t="str">
        <x:v>佰瑞特官方旗舰店</x:v>
      </x:c>
      <x:c r="K35" s="59" t="str"/>
      <x:c r="L35" s="59" t="str"/>
      <x:c r="M35" s="59" t="str"/>
      <x:c r="N35" s="59" t="str"/>
      <x:c r="O35" s="59" t="str"/>
      <x:c r="P35" s="59" t="str">
        <x:v>2026-07-22</x:v>
      </x:c>
      <x:c r="Q35" s="60" t="n">
        <x:v>18</x:v>
      </x:c>
      <x:c r="R35" s="59" t="str">
        <x:v>确认订单优惠后价格</x:v>
      </x:c>
    </x:row>
    <x:row r="36" ht="28" customHeight="1">
      <x:c r="A36" s="64" t="str">
        <x:v>ZC-20260722-016</x:v>
      </x:c>
      <x:c r="B36" s="64" t="str">
        <x:v>材料耗材</x:v>
      </x:c>
      <x:c r="C36" s="64" t="str">
        <x:v>低值易耗品</x:v>
      </x:c>
      <x:c r="D36" s="59" t="str">
        <x:v>304十字圆头螺钉</x:v>
      </x:c>
      <x:c r="E36" s="59" t="str">
        <x:v>M4×12/50个</x:v>
      </x:c>
      <x:c r="F36" s="61" t="n">
        <x:v>1</x:v>
      </x:c>
      <x:c r="G36" s="62" t="n">
        <x:v>2.75</x:v>
      </x:c>
      <x:c r="H36" s="62" t="n">
        <x:v>2.75</x:v>
      </x:c>
      <x:c r="I36" s="63" t="n">
        <x:v>46225</x:v>
      </x:c>
      <x:c r="J36" s="59" t="str">
        <x:v>佰瑞特官方旗舰店</x:v>
      </x:c>
      <x:c r="K36" s="59" t="str"/>
      <x:c r="L36" s="59" t="str"/>
      <x:c r="M36" s="59" t="str"/>
      <x:c r="N36" s="59" t="str"/>
      <x:c r="O36" s="59" t="str"/>
      <x:c r="P36" s="59" t="str">
        <x:v>2026-07-22</x:v>
      </x:c>
      <x:c r="Q36" s="60" t="n">
        <x:v>19</x:v>
      </x:c>
      <x:c r="R36" s="59" t="str">
        <x:v>确认订单优惠后价格</x:v>
      </x:c>
    </x:row>
    <x:row r="37" ht="28" customHeight="1">
      <x:c r="A37" s="64" t="str">
        <x:v>ZC-20260722-017</x:v>
      </x:c>
      <x:c r="B37" s="64" t="str">
        <x:v>材料耗材</x:v>
      </x:c>
      <x:c r="C37" s="64" t="str">
        <x:v>低值易耗品</x:v>
      </x:c>
      <x:c r="D37" s="59" t="str">
        <x:v>304十字圆头螺钉</x:v>
      </x:c>
      <x:c r="E37" s="59" t="str">
        <x:v>M4×10/100个</x:v>
      </x:c>
      <x:c r="F37" s="61" t="n">
        <x:v>1</x:v>
      </x:c>
      <x:c r="G37" s="62" t="n">
        <x:v>4.95</x:v>
      </x:c>
      <x:c r="H37" s="62" t="n">
        <x:v>4.95</x:v>
      </x:c>
      <x:c r="I37" s="63" t="n">
        <x:v>46225</x:v>
      </x:c>
      <x:c r="J37" s="59" t="str">
        <x:v>佰瑞特官方旗舰店</x:v>
      </x:c>
      <x:c r="K37" s="59" t="str"/>
      <x:c r="L37" s="59" t="str"/>
      <x:c r="M37" s="59" t="str"/>
      <x:c r="N37" s="59" t="str"/>
      <x:c r="O37" s="59" t="str"/>
      <x:c r="P37" s="59" t="str">
        <x:v>2026-07-22</x:v>
      </x:c>
      <x:c r="Q37" s="60" t="n">
        <x:v>20</x:v>
      </x:c>
      <x:c r="R37" s="59" t="str">
        <x:v>确认订单优惠后价格</x:v>
      </x:c>
    </x:row>
    <x:row r="38" ht="28" customHeight="1">
      <x:c r="A38" s="64" t="str">
        <x:v>ZC-20260722-018</x:v>
      </x:c>
      <x:c r="B38" s="64" t="str">
        <x:v>材料耗材</x:v>
      </x:c>
      <x:c r="C38" s="64" t="str">
        <x:v>低值易耗品</x:v>
      </x:c>
      <x:c r="D38" s="59" t="str">
        <x:v>304十字圆头螺钉</x:v>
      </x:c>
      <x:c r="E38" s="59" t="str">
        <x:v>M3×10/100个</x:v>
      </x:c>
      <x:c r="F38" s="61" t="n">
        <x:v>1</x:v>
      </x:c>
      <x:c r="G38" s="62" t="n">
        <x:v>2.96</x:v>
      </x:c>
      <x:c r="H38" s="62" t="n">
        <x:v>2.96</x:v>
      </x:c>
      <x:c r="I38" s="63" t="n">
        <x:v>46225</x:v>
      </x:c>
      <x:c r="J38" s="59" t="str">
        <x:v>佰瑞特官方旗舰店</x:v>
      </x:c>
      <x:c r="K38" s="59" t="str"/>
      <x:c r="L38" s="59" t="str"/>
      <x:c r="M38" s="59" t="str"/>
      <x:c r="N38" s="59" t="str"/>
      <x:c r="O38" s="59" t="str"/>
      <x:c r="P38" s="59" t="str">
        <x:v>2026-07-22</x:v>
      </x:c>
      <x:c r="Q38" s="60" t="n">
        <x:v>21</x:v>
      </x:c>
      <x:c r="R38" s="59" t="str">
        <x:v>确认订单优惠后价格</x:v>
      </x:c>
    </x:row>
    <x:row r="39" ht="28" customHeight="1">
      <x:c r="A39" s="64" t="str">
        <x:v>ZC-20260722-019</x:v>
      </x:c>
      <x:c r="B39" s="64" t="str">
        <x:v>材料耗材</x:v>
      </x:c>
      <x:c r="C39" s="64" t="str">
        <x:v>低值易耗品</x:v>
      </x:c>
      <x:c r="D39" s="59" t="str">
        <x:v>304十字圆头螺钉</x:v>
      </x:c>
      <x:c r="E39" s="59" t="str">
        <x:v>M3×6/100个</x:v>
      </x:c>
      <x:c r="F39" s="61" t="n">
        <x:v>1</x:v>
      </x:c>
      <x:c r="G39" s="62" t="n">
        <x:v>2.34</x:v>
      </x:c>
      <x:c r="H39" s="62" t="n">
        <x:v>2.34</x:v>
      </x:c>
      <x:c r="I39" s="63" t="n">
        <x:v>46225</x:v>
      </x:c>
      <x:c r="J39" s="59" t="str">
        <x:v>佰瑞特官方旗舰店</x:v>
      </x:c>
      <x:c r="K39" s="59" t="str"/>
      <x:c r="L39" s="59" t="str"/>
      <x:c r="M39" s="59" t="str"/>
      <x:c r="N39" s="59" t="str"/>
      <x:c r="O39" s="59" t="str"/>
      <x:c r="P39" s="59" t="str">
        <x:v>2026-07-22</x:v>
      </x:c>
      <x:c r="Q39" s="60" t="n">
        <x:v>22</x:v>
      </x:c>
      <x:c r="R39" s="59" t="str">
        <x:v>确认订单优惠后价格</x:v>
      </x:c>
    </x:row>
    <x:row r="40" ht="28" customHeight="1">
      <x:c r="A40" s="64" t="str">
        <x:v>ZC-20260722-020</x:v>
      </x:c>
      <x:c r="B40" s="64" t="str">
        <x:v>工具器具</x:v>
      </x:c>
      <x:c r="C40" s="64" t="str">
        <x:v>可周转资产</x:v>
      </x:c>
      <x:c r="D40" s="59" t="str">
        <x:v>接线端子压线钳</x:v>
      </x:c>
      <x:c r="E40" s="59" t="str">
        <x:v>HSC8 6-4A/0.25-10mm²/四边形</x:v>
      </x:c>
      <x:c r="F40" s="61" t="n">
        <x:v>1</x:v>
      </x:c>
      <x:c r="G40" s="62" t="n">
        <x:v>16.9</x:v>
      </x:c>
      <x:c r="H40" s="62" t="n">
        <x:v>16.9</x:v>
      </x:c>
      <x:c r="I40" s="63" t="n">
        <x:v>46225</x:v>
      </x:c>
      <x:c r="J40" s="59" t="str">
        <x:v>德力西聚优品专卖店</x:v>
      </x:c>
      <x:c r="K40" s="59" t="str"/>
      <x:c r="L40" s="59" t="str"/>
      <x:c r="M40" s="59" t="str"/>
      <x:c r="N40" s="59" t="str"/>
      <x:c r="O40" s="59" t="str"/>
      <x:c r="P40" s="59" t="str">
        <x:v>2026-07-22</x:v>
      </x:c>
      <x:c r="Q40" s="60" t="n">
        <x:v>23</x:v>
      </x:c>
      <x:c r="R40" s="59" t="str">
        <x:v>确认订单优惠后价格</x:v>
      </x:c>
    </x:row>
    <x:row r="41" ht="28" customHeight="1">
      <x:c r="A41" s="64" t="str">
        <x:v>ZC-20260722-021</x:v>
      </x:c>
      <x:c r="B41" s="64" t="str">
        <x:v>材料耗材</x:v>
      </x:c>
      <x:c r="C41" s="64" t="str">
        <x:v>低值易耗品</x:v>
      </x:c>
      <x:c r="D41" s="59" t="str">
        <x:v>管型端子套装</x:v>
      </x:c>
      <x:c r="E41" s="59" t="str">
        <x:v>VE1508针形铜鼻子/8种规格/1200只</x:v>
      </x:c>
      <x:c r="F41" s="61" t="n">
        <x:v>1</x:v>
      </x:c>
      <x:c r="G41" s="62" t="n">
        <x:v>17.82</x:v>
      </x:c>
      <x:c r="H41" s="62" t="n">
        <x:v>17.82</x:v>
      </x:c>
      <x:c r="I41" s="63" t="n">
        <x:v>46225</x:v>
      </x:c>
      <x:c r="J41" s="59" t="str">
        <x:v>UTL尤提乐岚行专卖店</x:v>
      </x:c>
      <x:c r="K41" s="59" t="str"/>
      <x:c r="L41" s="59" t="str"/>
      <x:c r="M41" s="59" t="str"/>
      <x:c r="N41" s="59" t="str"/>
      <x:c r="O41" s="59" t="str"/>
      <x:c r="P41" s="59" t="str">
        <x:v>2026-07-22</x:v>
      </x:c>
      <x:c r="Q41" s="60" t="n">
        <x:v>24</x:v>
      </x:c>
      <x:c r="R41" s="59" t="str">
        <x:v>确认订单优惠后价格</x:v>
      </x:c>
    </x:row>
    <x:row r="42" ht="28" customHeight="1">
      <x:c r="A42" s="64" t="str">
        <x:v>ZC-20260722-022</x:v>
      </x:c>
      <x:c r="B42" s="64" t="str">
        <x:v>材料耗材</x:v>
      </x:c>
      <x:c r="C42" s="64" t="str">
        <x:v>低值易耗品</x:v>
      </x:c>
      <x:c r="D42" s="59" t="str">
        <x:v>迷你接线端子连接器</x:v>
      </x:c>
      <x:c r="E42" s="59" t="str">
        <x:v>H3802-15A-03/3位/白色</x:v>
      </x:c>
      <x:c r="F42" s="61" t="n">
        <x:v>5</x:v>
      </x:c>
      <x:c r="G42" s="62" t="n">
        <x:v>4.98</x:v>
      </x:c>
      <x:c r="H42" s="62" t="n">
        <x:v>24.900000000000002</x:v>
      </x:c>
      <x:c r="I42" s="63" t="n">
        <x:v>46225</x:v>
      </x:c>
      <x:c r="J42" s="59" t="str">
        <x:v>elinkerelectric旗舰店</x:v>
      </x:c>
      <x:c r="K42" s="59" t="str"/>
      <x:c r="L42" s="59" t="str"/>
      <x:c r="M42" s="59" t="str"/>
      <x:c r="N42" s="59" t="str"/>
      <x:c r="O42" s="59" t="str"/>
      <x:c r="P42" s="59" t="str">
        <x:v>2026-07-22</x:v>
      </x:c>
      <x:c r="Q42" s="60" t="n">
        <x:v>25</x:v>
      </x:c>
      <x:c r="R42" s="59" t="str">
        <x:v>确认订单优惠后价格</x:v>
      </x:c>
    </x:row>
    <x:row r="43" ht="28" customHeight="1">
      <x:c r="A43" s="64" t="str">
        <x:v>ZC-20260724-001</x:v>
      </x:c>
      <x:c r="B43" s="64" t="str">
        <x:v>设备及装置</x:v>
      </x:c>
      <x:c r="C43" s="64" t="str">
        <x:v>可周转资产</x:v>
      </x:c>
      <x:c r="D43" s="59" t="str">
        <x:v>12V锂电池充电器</x:v>
      </x:c>
      <x:c r="E43" s="59" t="str">
        <x:v>12-12.6V/1A-2A/5.5mm圆孔/线长1米</x:v>
      </x:c>
      <x:c r="F43" s="61" t="n">
        <x:v>1</x:v>
      </x:c>
      <x:c r="G43" s="62" t="n">
        <x:v>12.5</x:v>
      </x:c>
      <x:c r="H43" s="62" t="n">
        <x:v>12.5</x:v>
      </x:c>
      <x:c r="I43" s="63" t="n">
        <x:v>46227</x:v>
      </x:c>
      <x:c r="J43" s="59" t="str">
        <x:v>浩可充电器实力工厂</x:v>
      </x:c>
      <x:c r="K43" s="59" t="str"/>
      <x:c r="L43" s="59" t="str"/>
      <x:c r="M43" s="59" t="str"/>
      <x:c r="N43" s="59" t="str"/>
      <x:c r="O43" s="59" t="str"/>
      <x:c r="P43" s="59" t="str">
        <x:v>2026-07-24</x:v>
      </x:c>
      <x:c r="Q43" s="60" t="n">
        <x:v>4</x:v>
      </x:c>
      <x:c r="R43" s="59" t="str">
        <x:v>确认订单优惠后价格</x:v>
      </x:c>
    </x:row>
    <x:row r="44" ht="28" customHeight="1">
      <x:c r="A44" s="64" t="str">
        <x:v>ZC-20260724-002</x:v>
      </x:c>
      <x:c r="B44" s="64" t="str">
        <x:v>设备及装置</x:v>
      </x:c>
      <x:c r="C44" s="64" t="str">
        <x:v>可周转资产</x:v>
      </x:c>
      <x:c r="D44" s="59" t="str">
        <x:v>公牛六位总控插座</x:v>
      </x:c>
      <x:c r="E44" s="59" t="str">
        <x:v>B9330/全长1.8米</x:v>
      </x:c>
      <x:c r="F44" s="61" t="n">
        <x:v>1</x:v>
      </x:c>
      <x:c r="G44" s="62" t="n">
        <x:v>38</x:v>
      </x:c>
      <x:c r="H44" s="62" t="n">
        <x:v>38</x:v>
      </x:c>
      <x:c r="I44" s="63" t="n">
        <x:v>46227</x:v>
      </x:c>
      <x:c r="J44" s="59" t="str">
        <x:v>公牛多德专卖店</x:v>
      </x:c>
      <x:c r="K44" s="59" t="str"/>
      <x:c r="L44" s="59" t="str"/>
      <x:c r="M44" s="59" t="str"/>
      <x:c r="N44" s="59" t="str"/>
      <x:c r="O44" s="59" t="str"/>
      <x:c r="P44" s="59" t="str">
        <x:v>2026-07-24</x:v>
      </x:c>
      <x:c r="Q44" s="60" t="n">
        <x:v>5</x:v>
      </x:c>
      <x:c r="R44" s="59" t="str">
        <x:v>确认订单补贴后价格</x:v>
      </x:c>
    </x:row>
    <x:row r="45" ht="28" customHeight="1">
      <x:c r="A45" s="64" t="str">
        <x:v>ZC-20260728-002</x:v>
      </x:c>
      <x:c r="B45" s="64" t="str">
        <x:v>材料耗材</x:v>
      </x:c>
      <x:c r="C45" s="64" t="str">
        <x:v>低值易耗品</x:v>
      </x:c>
      <x:c r="D45" s="59" t="str">
        <x:v>单头六角铜柱</x:v>
      </x:c>
      <x:c r="E45" s="59" t="str">
        <x:v>M3*24+6（20支）</x:v>
      </x:c>
      <x:c r="F45" s="61" t="n">
        <x:v>1</x:v>
      </x:c>
      <x:c r="G45" s="62" t="n">
        <x:v>8.01</x:v>
      </x:c>
      <x:c r="H45" s="62" t="n">
        <x:v>8.01</x:v>
      </x:c>
      <x:c r="I45" s="63" t="n">
        <x:v>46231</x:v>
      </x:c>
      <x:c r="J45" s="59" t="str">
        <x:v>固万基官方旗舰店</x:v>
      </x:c>
      <x:c r="K45" s="59" t="str"/>
      <x:c r="L45" s="59" t="str"/>
      <x:c r="M45" s="59" t="str"/>
      <x:c r="N45" s="59" t="str"/>
      <x:c r="O45" s="59" t="str"/>
      <x:c r="P45" s="59" t="str">
        <x:v>2026-07-28</x:v>
      </x:c>
      <x:c r="Q45" s="60" t="n">
        <x:v>5</x:v>
      </x:c>
      <x:c r="R45" s="59" t="str">
        <x:v>优惠后价；先用后付</x:v>
      </x:c>
    </x:row>
    <x:row r="46" ht="28" customHeight="1">
      <x:c r="A46" s="64" t="str">
        <x:v>ZC-20260728-003</x:v>
      </x:c>
      <x:c r="B46" s="64" t="str">
        <x:v>材料耗材</x:v>
      </x:c>
      <x:c r="C46" s="64" t="str">
        <x:v>低值易耗品</x:v>
      </x:c>
      <x:c r="D46" s="59" t="str">
        <x:v>单头六角铜柱</x:v>
      </x:c>
      <x:c r="E46" s="59" t="str">
        <x:v>M3*37+6（20支）</x:v>
      </x:c>
      <x:c r="F46" s="61" t="n">
        <x:v>1</x:v>
      </x:c>
      <x:c r="G46" s="62" t="n">
        <x:v>14.4</x:v>
      </x:c>
      <x:c r="H46" s="62" t="n">
        <x:v>14.4</x:v>
      </x:c>
      <x:c r="I46" s="63" t="n">
        <x:v>46231</x:v>
      </x:c>
      <x:c r="J46" s="59" t="str">
        <x:v>固万基官方旗舰店</x:v>
      </x:c>
      <x:c r="K46" s="59" t="str"/>
      <x:c r="L46" s="59" t="str"/>
      <x:c r="M46" s="59" t="str"/>
      <x:c r="N46" s="59" t="str"/>
      <x:c r="O46" s="59" t="str"/>
      <x:c r="P46" s="59" t="str">
        <x:v>2026-07-28</x:v>
      </x:c>
      <x:c r="Q46" s="60" t="n">
        <x:v>6</x:v>
      </x:c>
      <x:c r="R46" s="59" t="str">
        <x:v>优惠后价；先用后付</x:v>
      </x:c>
    </x:row>
    <x:row r="47" ht="28" customHeight="1">
      <x:c r="A47" s="64" t="str">
        <x:v>ZC-20260728-004</x:v>
      </x:c>
      <x:c r="B47" s="64" t="str">
        <x:v>工具器具</x:v>
      </x:c>
      <x:c r="C47" s="64" t="str">
        <x:v>可周转资产</x:v>
      </x:c>
      <x:c r="D47" s="59" t="str">
        <x:v>钳子三件套</x:v>
      </x:c>
      <x:c r="E47" s="59" t="str">
        <x:v>8寸工业级套装（老虎钳+斜嘴钳+尖嘴钳）</x:v>
      </x:c>
      <x:c r="F47" s="61" t="n">
        <x:v>1</x:v>
      </x:c>
      <x:c r="G47" s="62" t="n">
        <x:v>26.27</x:v>
      </x:c>
      <x:c r="H47" s="62" t="n">
        <x:v>26.27</x:v>
      </x:c>
      <x:c r="I47" s="63" t="n">
        <x:v>46231</x:v>
      </x:c>
      <x:c r="J47" s="59" t="str">
        <x:v>天天特卖工厂</x:v>
      </x:c>
      <x:c r="K47" s="59" t="str"/>
      <x:c r="L47" s="59" t="str"/>
      <x:c r="M47" s="59" t="str"/>
      <x:c r="N47" s="59" t="str"/>
      <x:c r="O47" s="59" t="str"/>
      <x:c r="P47" s="59" t="str">
        <x:v>2026-07-28</x:v>
      </x:c>
      <x:c r="Q47" s="60" t="n">
        <x:v>7</x:v>
      </x:c>
      <x:c r="R47" s="59" t="str">
        <x:v>补贴后价；先用后付</x:v>
      </x:c>
    </x:row>
    <x:row r="48" ht="28" customHeight="1">
      <x:c r="A48" s="64" t="str">
        <x:v>ZC-20260728-005</x:v>
      </x:c>
      <x:c r="B48" s="64" t="str">
        <x:v>电子元器件</x:v>
      </x:c>
      <x:c r="C48" s="64" t="str">
        <x:v>项目组件</x:v>
      </x:c>
      <x:c r="D48" s="59" t="str">
        <x:v>XT60公母插头</x:v>
      </x:c>
      <x:c r="E48" s="59" t="str">
        <x:v>XT60公头12AWG，3.4平方，30厘米，5条</x:v>
      </x:c>
      <x:c r="F48" s="61" t="n">
        <x:v>1</x:v>
      </x:c>
      <x:c r="G48" s="62" t="n">
        <x:v>26</x:v>
      </x:c>
      <x:c r="H48" s="62" t="n">
        <x:v>26</x:v>
      </x:c>
      <x:c r="I48" s="63" t="n">
        <x:v>46231</x:v>
      </x:c>
      <x:c r="J48" s="59" t="str">
        <x:v>创未良品电子科技有限公司</x:v>
      </x:c>
      <x:c r="K48" s="59" t="str"/>
      <x:c r="L48" s="59" t="str"/>
      <x:c r="M48" s="59" t="str"/>
      <x:c r="N48" s="59" t="str"/>
      <x:c r="O48" s="59" t="str"/>
      <x:c r="P48" s="59" t="str">
        <x:v>2026-07-28</x:v>
      </x:c>
      <x:c r="Q48" s="60" t="n">
        <x:v>8</x:v>
      </x:c>
      <x:c r="R48" s="59" t="str">
        <x:v>优惠后价；先用后付</x:v>
      </x:c>
    </x:row>
    <x:row r="49" ht="28" customHeight="1">
      <x:c r="A49" s="64" t="str">
        <x:v>ZC-20260729-001</x:v>
      </x:c>
      <x:c r="B49" s="64" t="str">
        <x:v>电子元器件</x:v>
      </x:c>
      <x:c r="C49" s="64" t="str">
        <x:v>项目组件</x:v>
      </x:c>
      <x:c r="D49" s="59" t="str">
        <x:v>DC-DC降压模块</x:v>
      </x:c>
      <x:c r="E49" s="59" t="str">
        <x:v>QS-1205CBUM-10A / DC-DC 5V 10A</x:v>
      </x:c>
      <x:c r="F49" s="61" t="n">
        <x:v>1</x:v>
      </x:c>
      <x:c r="G49" s="62" t="n">
        <x:v>17.6</x:v>
      </x:c>
      <x:c r="H49" s="62" t="n">
        <x:v>17.6</x:v>
      </x:c>
      <x:c r="I49" s="63" t="n">
        <x:v>46232</x:v>
      </x:c>
      <x:c r="J49" s="59" t="str">
        <x:v>深圳市优信电子科技有限公司</x:v>
      </x:c>
      <x:c r="K49" s="59" t="str"/>
      <x:c r="L49" s="59" t="str"/>
      <x:c r="M49" s="59" t="str"/>
      <x:c r="N49" s="59" t="str"/>
      <x:c r="O49" s="59" t="str"/>
      <x:c r="P49" s="59" t="str">
        <x:v>2026-07-29</x:v>
      </x:c>
      <x:c r="Q49" s="60" t="n">
        <x:v>4</x:v>
      </x:c>
      <x:c r="R49" s="59" t="str">
        <x:v>实付款17.60元</x:v>
      </x:c>
    </x:row>
    <x:row r="50" ht="28" customHeight="1">
      <x:c r="A50" s="64" t="str">
        <x:v>ZC-20260729-002</x:v>
      </x:c>
      <x:c r="B50" s="64" t="str">
        <x:v>设备及装置</x:v>
      </x:c>
      <x:c r="C50" s="64" t="str">
        <x:v>可周转资产</x:v>
      </x:c>
      <x:c r="D50" s="59" t="str">
        <x:v>水下机器人ROV探照灯</x:v>
      </x:c>
      <x:c r="E50" s="59" t="str">
        <x:v>Ardusub脉宽控制 / 光束角100° / 2500流明 / 8-30V宽压 / PWM驱动</x:v>
      </x:c>
      <x:c r="F50" s="61" t="n">
        <x:v>1</x:v>
      </x:c>
      <x:c r="G50" s="62" t="n">
        <x:v>306</x:v>
      </x:c>
      <x:c r="H50" s="62" t="n">
        <x:v>306</x:v>
      </x:c>
      <x:c r="I50" s="63" t="n">
        <x:v>46232</x:v>
      </x:c>
      <x:c r="J50" s="59" t="str">
        <x:v>EXOCEAN拓洲智能</x:v>
      </x:c>
      <x:c r="K50" s="59" t="str"/>
      <x:c r="L50" s="59" t="str"/>
      <x:c r="M50" s="59" t="str"/>
      <x:c r="N50" s="59" t="str"/>
      <x:c r="O50" s="59" t="str"/>
      <x:c r="P50" s="59" t="str">
        <x:v>2026-07-29</x:v>
      </x:c>
      <x:c r="Q50" s="60" t="n">
        <x:v>5</x:v>
      </x:c>
      <x:c r="R50" s="59" t="str">
        <x:v>商品标价294元；实付款306元（含运费12元）</x:v>
      </x:c>
    </x:row>
    <x:row r="51" ht="28" customHeight="1">
      <x:c r="A51" s="64" t="str">
        <x:v>ZC-20260729-003</x:v>
      </x:c>
      <x:c r="B51" s="64" t="str">
        <x:v>电子元器件</x:v>
      </x:c>
      <x:c r="C51" s="64" t="str">
        <x:v>项目组件</x:v>
      </x:c>
      <x:c r="D51" s="59" t="str">
        <x:v>USB转RS232/TTL通讯模块</x:v>
      </x:c>
      <x:c r="E51" s="59" t="str">
        <x:v>Y804（USB转TTL）/ 通讯电平5V</x:v>
      </x:c>
      <x:c r="F51" s="61" t="n">
        <x:v>1</x:v>
      </x:c>
      <x:c r="G51" s="62" t="n">
        <x:v>16.4</x:v>
      </x:c>
      <x:c r="H51" s="62" t="n">
        <x:v>16.4</x:v>
      </x:c>
      <x:c r="I51" s="63" t="n">
        <x:v>46232</x:v>
      </x:c>
      <x:c r="J51" s="59" t="str">
        <x:v>雨伽量旗舰店</x:v>
      </x:c>
      <x:c r="K51" s="59" t="str"/>
      <x:c r="L51" s="59" t="str"/>
      <x:c r="M51" s="59" t="str"/>
      <x:c r="N51" s="59" t="str"/>
      <x:c r="O51" s="59" t="str"/>
      <x:c r="P51" s="59" t="str">
        <x:v>2026-07-29</x:v>
      </x:c>
      <x:c r="Q51" s="60" t="n">
        <x:v>6</x:v>
      </x:c>
      <x:c r="R51" s="59" t="str">
        <x:v>实付款16.40元</x:v>
      </x:c>
    </x:row>
    <x:row r="52" ht="28" customHeight="1">
      <x:c r="A52" s="64" t="str">
        <x:v>ZC-20260803-001</x:v>
      </x:c>
      <x:c r="B52" s="64" t="str">
        <x:v>材料耗材</x:v>
      </x:c>
      <x:c r="C52" s="64" t="str">
        <x:v>低值易耗品</x:v>
      </x:c>
      <x:c r="D52" s="59" t="str">
        <x:v>304不锈钢十字圆头机牙螺钉</x:v>
      </x:c>
      <x:c r="E52" s="59" t="str">
        <x:v>M3*22 / 100个</x:v>
      </x:c>
      <x:c r="F52" s="61" t="n">
        <x:v>1</x:v>
      </x:c>
      <x:c r="G52" s="62" t="n">
        <x:v>5.15</x:v>
      </x:c>
      <x:c r="H52" s="62" t="n">
        <x:v>5.15</x:v>
      </x:c>
      <x:c r="I52" s="63" t="n">
        <x:v>46237</x:v>
      </x:c>
      <x:c r="J52" s="59" t="str">
        <x:v>佰瑞特官方旗舰店</x:v>
      </x:c>
      <x:c r="K52" s="59" t="str"/>
      <x:c r="L52" s="59" t="str"/>
      <x:c r="M52" s="59" t="str"/>
      <x:c r="N52" s="59" t="str"/>
      <x:c r="O52" s="59" t="str"/>
      <x:c r="P52" s="59" t="str">
        <x:v>2026-08-03</x:v>
      </x:c>
      <x:c r="Q52" s="60" t="n">
        <x:v>4</x:v>
      </x:c>
      <x:c r="R52" s="59" t="str">
        <x:v>先用后付；确认收货后应付5.15元</x:v>
      </x:c>
    </x:row>
    <x:row r="53" ht="28" customHeight="1">
      <x:c r="A53" s="64" t="str">
        <x:v>ZC-20260803-002</x:v>
      </x:c>
      <x:c r="B53" s="64" t="str">
        <x:v>材料耗材</x:v>
      </x:c>
      <x:c r="C53" s="64" t="str">
        <x:v>低值易耗品</x:v>
      </x:c>
      <x:c r="D53" s="59" t="str">
        <x:v>304不锈钢十字圆头机牙螺钉</x:v>
      </x:c>
      <x:c r="E53" s="59" t="str">
        <x:v>M3*20 / 100个</x:v>
      </x:c>
      <x:c r="F53" s="61" t="n">
        <x:v>1</x:v>
      </x:c>
      <x:c r="G53" s="62" t="n">
        <x:v>4.87</x:v>
      </x:c>
      <x:c r="H53" s="62" t="n">
        <x:v>4.87</x:v>
      </x:c>
      <x:c r="I53" s="63" t="n">
        <x:v>46237</x:v>
      </x:c>
      <x:c r="J53" s="59" t="str">
        <x:v>佰瑞特官方旗舰店</x:v>
      </x:c>
      <x:c r="K53" s="59" t="str"/>
      <x:c r="L53" s="59" t="str"/>
      <x:c r="M53" s="59" t="str"/>
      <x:c r="N53" s="59" t="str"/>
      <x:c r="O53" s="59" t="str"/>
      <x:c r="P53" s="59" t="str">
        <x:v>2026-08-03</x:v>
      </x:c>
      <x:c r="Q53" s="60" t="n">
        <x:v>5</x:v>
      </x:c>
      <x:c r="R53" s="59" t="str">
        <x:v>先用后付；确认收货后应付4.87元</x:v>
      </x:c>
    </x:row>
    <x:row r="54" ht="28" customHeight="1">
      <x:c r="A54" s="64" t="str">
        <x:v>ZC-20260803-003</x:v>
      </x:c>
      <x:c r="B54" s="64" t="str">
        <x:v>材料耗材</x:v>
      </x:c>
      <x:c r="C54" s="64" t="str">
        <x:v>低值易耗品</x:v>
      </x:c>
      <x:c r="D54" s="59" t="str">
        <x:v>304不锈钢防松锁紧螺母</x:v>
      </x:c>
      <x:c r="E54" s="59" t="str">
        <x:v>M3 / 304材质 / 40个</x:v>
      </x:c>
      <x:c r="F54" s="61" t="n">
        <x:v>1</x:v>
      </x:c>
      <x:c r="G54" s="62" t="n">
        <x:v>1.94</x:v>
      </x:c>
      <x:c r="H54" s="62" t="n">
        <x:v>1.94</x:v>
      </x:c>
      <x:c r="I54" s="63" t="n">
        <x:v>46237</x:v>
      </x:c>
      <x:c r="J54" s="59" t="str">
        <x:v>固万基五金科技</x:v>
      </x:c>
      <x:c r="K54" s="59" t="str"/>
      <x:c r="L54" s="59" t="str"/>
      <x:c r="M54" s="59" t="str"/>
      <x:c r="N54" s="59" t="str"/>
      <x:c r="O54" s="59" t="str"/>
      <x:c r="P54" s="59" t="str">
        <x:v>2026-08-03</x:v>
      </x:c>
      <x:c r="Q54" s="60" t="n">
        <x:v>6</x:v>
      </x:c>
      <x:c r="R54" s="59" t="str">
        <x:v>先用后付；确认收货后应付1.94元</x:v>
      </x:c>
    </x:row>
    <x:row r="55" ht="28" customHeight="1">
      <x:c r="A55" s="64" t="str">
        <x:v>ZC-20260807-001</x:v>
      </x:c>
      <x:c r="B55" s="64" t="str">
        <x:v>设备及装置</x:v>
      </x:c>
      <x:c r="C55" s="64" t="str">
        <x:v>可周转资产</x:v>
      </x:c>
      <x:c r="D55" s="59" t="str">
        <x:v>ROV电源板开关天启大电流控制器</x:v>
      </x:c>
      <x:c r="E55" s="59" t="str">
        <x:v>5V/12V输出 / 板载大电流MOS开关</x:v>
      </x:c>
      <x:c r="F55" s="61" t="n">
        <x:v>1</x:v>
      </x:c>
      <x:c r="G55" s="62" t="n">
        <x:v>249</x:v>
      </x:c>
      <x:c r="H55" s="62" t="n">
        <x:v>249</x:v>
      </x:c>
      <x:c r="I55" s="63" t="n">
        <x:v>46241</x:v>
      </x:c>
      <x:c r="J55" s="59" t="str">
        <x:v>店铺名未显示</x:v>
      </x:c>
      <x:c r="K55" s="59" t="str"/>
      <x:c r="L55" s="59" t="str"/>
      <x:c r="M55" s="59" t="str"/>
      <x:c r="N55" s="59" t="str"/>
      <x:c r="O55" s="59" t="str"/>
      <x:c r="P55" s="59" t="str">
        <x:v>2026-08-07</x:v>
      </x:c>
      <x:c r="Q55" s="60" t="n">
        <x:v>4</x:v>
      </x:c>
      <x:c r="R55" s="59" t="str">
        <x:v>包邮；截图未显示完整店铺名</x:v>
      </x:c>
    </x:row>
    <x:row r="56" ht="28" customHeight="1">
      <x:c r="A56" s="64" t="str">
        <x:v>ZC-20260807-002</x:v>
      </x:c>
      <x:c r="B56" s="64" t="str">
        <x:v>设备及装置</x:v>
      </x:c>
      <x:c r="C56" s="64" t="str">
        <x:v>可周转资产</x:v>
      </x:c>
      <x:c r="D56" s="59" t="str">
        <x:v>海目云水下机器人大深水旋钮开关</x:v>
      </x:c>
      <x:c r="E56" s="59" t="str">
        <x:v>M10开关</x:v>
      </x:c>
      <x:c r="F56" s="61" t="n">
        <x:v>1</x:v>
      </x:c>
      <x:c r="G56" s="62" t="n">
        <x:v>93.58</x:v>
      </x:c>
      <x:c r="H56" s="62" t="n">
        <x:v>93.58</x:v>
      </x:c>
      <x:c r="I56" s="63" t="n">
        <x:v>46241</x:v>
      </x:c>
      <x:c r="J56" s="59" t="str">
        <x:v>VIOCEAN海目云海洋科技企业店</x:v>
      </x:c>
      <x:c r="K56" s="59" t="str"/>
      <x:c r="L56" s="59" t="str"/>
      <x:c r="M56" s="59" t="str"/>
      <x:c r="N56" s="59" t="str"/>
      <x:c r="O56" s="59" t="str"/>
      <x:c r="P56" s="59" t="str">
        <x:v>2026-08-07</x:v>
      </x:c>
      <x:c r="Q56" s="60" t="n">
        <x:v>5</x:v>
      </x:c>
      <x:c r="R56" s="59" t="str">
        <x:v>补贴后价格</x:v>
      </x:c>
    </x:row>
    <x:row r="57" ht="28" customHeight="1">
      <x:c r="A57" s="64" t="str">
        <x:v>ZC-20260807-003</x:v>
      </x:c>
      <x:c r="B57" s="64" t="str">
        <x:v>工具器具</x:v>
      </x:c>
      <x:c r="C57" s="64" t="str">
        <x:v>可周转资产</x:v>
      </x:c>
      <x:c r="D57" s="59" t="str">
        <x:v>得力办公家用不锈钢美工剪刀</x:v>
      </x:c>
      <x:c r="E57" s="59" t="str">
        <x:v>办公家用剪刀</x:v>
      </x:c>
      <x:c r="F57" s="61" t="n">
        <x:v>1</x:v>
      </x:c>
      <x:c r="G57" s="62" t="n">
        <x:v>8</x:v>
      </x:c>
      <x:c r="H57" s="62" t="n">
        <x:v>8</x:v>
      </x:c>
      <x:c r="I57" s="63" t="n">
        <x:v>46241</x:v>
      </x:c>
      <x:c r="J57" s="59" t="str">
        <x:v>得力文具品牌旗舰店</x:v>
      </x:c>
      <x:c r="K57" s="59" t="str"/>
      <x:c r="L57" s="59" t="str"/>
      <x:c r="M57" s="59" t="str"/>
      <x:c r="N57" s="59" t="str"/>
      <x:c r="O57" s="59" t="str"/>
      <x:c r="P57" s="59" t="str">
        <x:v>2026-08-07</x:v>
      </x:c>
      <x:c r="Q57" s="60" t="n">
        <x:v>6</x:v>
      </x:c>
      <x:c r="R57" s="59" t="str">
        <x:v>文具订单商品</x:v>
      </x:c>
    </x:row>
    <x:row r="58" ht="28" customHeight="1">
      <x:c r="A58" s="64" t="str">
        <x:v>ZC-20260807-004</x:v>
      </x:c>
      <x:c r="B58" s="64" t="str">
        <x:v>工具器具</x:v>
      </x:c>
      <x:c r="C58" s="64" t="str">
        <x:v>可周转资产</x:v>
      </x:c>
      <x:c r="D58" s="59" t="str">
        <x:v>小鱼儿有机玻璃透明直尺</x:v>
      </x:c>
      <x:c r="E58" s="59" t="str">
        <x:v>塑料透明尺</x:v>
      </x:c>
      <x:c r="F58" s="61" t="n">
        <x:v>1</x:v>
      </x:c>
      <x:c r="G58" s="62" t="n">
        <x:v>2</x:v>
      </x:c>
      <x:c r="H58" s="62" t="n">
        <x:v>2</x:v>
      </x:c>
      <x:c r="I58" s="63" t="n">
        <x:v>46241</x:v>
      </x:c>
      <x:c r="J58" s="59" t="str">
        <x:v>得力文具品牌旗舰店</x:v>
      </x:c>
      <x:c r="K58" s="59" t="str"/>
      <x:c r="L58" s="59" t="str"/>
      <x:c r="M58" s="59" t="str"/>
      <x:c r="N58" s="59" t="str"/>
      <x:c r="O58" s="59" t="str"/>
      <x:c r="P58" s="59" t="str">
        <x:v>2026-08-07</x:v>
      </x:c>
      <x:c r="Q58" s="60" t="n">
        <x:v>7</x:v>
      </x:c>
      <x:c r="R58" s="59" t="str">
        <x:v>文具订单商品</x:v>
      </x:c>
    </x:row>
    <x:row r="59" ht="28" customHeight="1">
      <x:c r="A59" s="64" t="str">
        <x:v>ZC-20260807-005</x:v>
      </x:c>
      <x:c r="B59" s="64" t="str">
        <x:v>工具器具</x:v>
      </x:c>
      <x:c r="C59" s="64" t="str">
        <x:v>可周转资产</x:v>
      </x:c>
      <x:c r="D59" s="59" t="str">
        <x:v>得力小号迷你美工刀</x:v>
      </x:c>
      <x:c r="E59" s="59" t="str">
        <x:v>拆快递迷你美工刀</x:v>
      </x:c>
      <x:c r="F59" s="61" t="n">
        <x:v>1</x:v>
      </x:c>
      <x:c r="G59" s="62" t="n">
        <x:v>3</x:v>
      </x:c>
      <x:c r="H59" s="62" t="n">
        <x:v>3</x:v>
      </x:c>
      <x:c r="I59" s="63" t="n">
        <x:v>46241</x:v>
      </x:c>
      <x:c r="J59" s="59" t="str">
        <x:v>得力文具品牌旗舰店</x:v>
      </x:c>
      <x:c r="K59" s="59" t="str"/>
      <x:c r="L59" s="59" t="str"/>
      <x:c r="M59" s="59" t="str"/>
      <x:c r="N59" s="59" t="str"/>
      <x:c r="O59" s="59" t="str"/>
      <x:c r="P59" s="59" t="str">
        <x:v>2026-08-07</x:v>
      </x:c>
      <x:c r="Q59" s="60" t="n">
        <x:v>8</x:v>
      </x:c>
      <x:c r="R59" s="59" t="str">
        <x:v>文具订单商品</x:v>
      </x:c>
    </x:row>
    <x:row r="60" ht="28" customHeight="1">
      <x:c r="A60" s="64" t="str">
        <x:v>ZC-20260807-006</x:v>
      </x:c>
      <x:c r="B60" s="64" t="str">
        <x:v>材料耗材</x:v>
      </x:c>
      <x:c r="C60" s="64" t="str">
        <x:v>低值易耗品</x:v>
      </x:c>
      <x:c r="D60" s="59" t="str">
        <x:v>电工绝缘胶带</x:v>
      </x:c>
      <x:c r="E60" s="59" t="str">
        <x:v>PVC阻燃防水绝缘胶带</x:v>
      </x:c>
      <x:c r="F60" s="61" t="n">
        <x:v>2</x:v>
      </x:c>
      <x:c r="G60" s="62" t="n">
        <x:v>2.5</x:v>
      </x:c>
      <x:c r="H60" s="62" t="n">
        <x:v>5</x:v>
      </x:c>
      <x:c r="I60" s="63" t="n">
        <x:v>46241</x:v>
      </x:c>
      <x:c r="J60" s="59" t="str">
        <x:v>得力文具品牌旗舰店</x:v>
      </x:c>
      <x:c r="K60" s="59" t="str"/>
      <x:c r="L60" s="59" t="str"/>
      <x:c r="M60" s="59" t="str"/>
      <x:c r="N60" s="59" t="str"/>
      <x:c r="O60" s="59" t="str"/>
      <x:c r="P60" s="59" t="str">
        <x:v>2026-08-07</x:v>
      </x:c>
      <x:c r="Q60" s="60" t="n">
        <x:v>9</x:v>
      </x:c>
      <x:c r="R60" s="59" t="str">
        <x:v>2卷合计5元</x:v>
      </x:c>
    </x:row>
    <x:row r="61" ht="28" customHeight="1">
      <x:c r="A61" s="64" t="str">
        <x:v>ZC-20260810-001</x:v>
      </x:c>
      <x:c r="B61" s="64" t="str">
        <x:v>电子元器件</x:v>
      </x:c>
      <x:c r="C61" s="64" t="str">
        <x:v>项目组件</x:v>
      </x:c>
      <x:c r="D61" s="59" t="str">
        <x:v>纯铜加粗0.5平方5A大电流Type-C公单头线</x:v>
      </x:c>
      <x:c r="E61" s="59" t="str">
        <x:v>0.3m / Type-C公单 / 黑色</x:v>
      </x:c>
      <x:c r="F61" s="61" t="n">
        <x:v>1</x:v>
      </x:c>
      <x:c r="G61" s="62" t="n">
        <x:v>4.98</x:v>
      </x:c>
      <x:c r="H61" s="62" t="n">
        <x:v>4.98</x:v>
      </x:c>
      <x:c r="I61" s="63" t="n">
        <x:v>46244</x:v>
      </x:c>
      <x:c r="J61" s="59" t="str">
        <x:v>邵深源线材工厂批发店</x:v>
      </x:c>
      <x:c r="K61" s="59" t="str"/>
      <x:c r="L61" s="59" t="str"/>
      <x:c r="M61" s="59" t="str"/>
      <x:c r="N61" s="59" t="str"/>
      <x:c r="O61" s="59" t="str"/>
      <x:c r="P61" s="59" t="str">
        <x:v>2026-08-10</x:v>
      </x:c>
      <x:c r="Q61" s="60" t="n">
        <x:v>4</x:v>
      </x:c>
      <x:c r="R61" s="59" t="str">
        <x:v>先用后付；订单号3316184510600008294</x:v>
      </x:c>
    </x:row>
    <x:row r="62" ht="28" customHeight="1">
      <x:c r="A62" s="64" t="str">
        <x:v>ZC-20260814-001</x:v>
      </x:c>
      <x:c r="B62" s="64" t="str">
        <x:v>工具器具</x:v>
      </x:c>
      <x:c r="C62" s="64" t="str">
        <x:v>可周转资产</x:v>
      </x:c>
      <x:c r="D62" s="59" t="str">
        <x:v>热熔胶枪</x:v>
      </x:c>
      <x:c r="E62" s="59" t="str">
        <x:v>7mm胶棒适用 / 不含胶棒</x:v>
      </x:c>
      <x:c r="F62" s="61" t="n">
        <x:v>1</x:v>
      </x:c>
      <x:c r="G62" s="62" t="n">
        <x:v>20.2</x:v>
      </x:c>
      <x:c r="H62" s="62" t="n">
        <x:v>20.2</x:v>
      </x:c>
      <x:c r="I62" s="63" t="n">
        <x:v>46248</x:v>
      </x:c>
      <x:c r="J62" s="59" t="str">
        <x:v>咚宜佳超市（大学城店）</x:v>
      </x:c>
      <x:c r="K62" s="59" t="str"/>
      <x:c r="L62" s="59" t="str"/>
      <x:c r="M62" s="59" t="str"/>
      <x:c r="N62" s="59" t="str"/>
      <x:c r="O62" s="59" t="str"/>
      <x:c r="P62" s="59" t="str">
        <x:v>2026-08-14</x:v>
      </x:c>
      <x:c r="Q62" s="60" t="n">
        <x:v>4</x:v>
      </x:c>
      <x:c r="R62" s="59" t="str">
        <x:v>实付价</x:v>
      </x:c>
    </x:row>
    <x:row r="63" ht="28" customHeight="1">
      <x:c r="A63" s="64" t="str">
        <x:v>ZC-20260814-002</x:v>
      </x:c>
      <x:c r="B63" s="64" t="str">
        <x:v>材料耗材</x:v>
      </x:c>
      <x:c r="C63" s="64" t="str">
        <x:v>低值易耗品</x:v>
      </x:c>
      <x:c r="D63" s="59" t="str">
        <x:v>热熔胶棒</x:v>
      </x:c>
      <x:c r="E63" s="59" t="str">
        <x:v>7mm / 1条装</x:v>
      </x:c>
      <x:c r="F63" s="61" t="n">
        <x:v>10</x:v>
      </x:c>
      <x:c r="G63" s="62" t="n">
        <x:v>0.43</x:v>
      </x:c>
      <x:c r="H63" s="62" t="n">
        <x:v>4.3</x:v>
      </x:c>
      <x:c r="I63" s="63" t="n">
        <x:v>46248</x:v>
      </x:c>
      <x:c r="J63" s="59" t="str">
        <x:v>咚宜佳超市（大学城店）</x:v>
      </x:c>
      <x:c r="K63" s="59" t="str"/>
      <x:c r="L63" s="59" t="str"/>
      <x:c r="M63" s="59" t="str"/>
      <x:c r="N63" s="59" t="str"/>
      <x:c r="O63" s="59" t="str"/>
      <x:c r="P63" s="59" t="str">
        <x:v>2026-08-14</x:v>
      </x:c>
      <x:c r="Q63" s="60" t="n">
        <x:v>5</x:v>
      </x:c>
      <x:c r="R63" s="59" t="str">
        <x:v>10条合计4.30元</x:v>
      </x:c>
    </x:row>
    <x:row r="64" ht="34" customHeight="1">
      <x:c r="A64" s="100" t="str">
        <x:v>ZC-20260817-001</x:v>
      </x:c>
      <x:c r="B64" s="100" t="str">
        <x:v>材料耗材</x:v>
      </x:c>
      <x:c r="C64" s="100" t="str">
        <x:v>低值易耗品</x:v>
      </x:c>
      <x:c r="D64" s="103" t="str">
        <x:v>美标特软硅胶线</x:v>
      </x:c>
      <x:c r="E64" s="103" t="str">
        <x:v>28AWG / 黑色 / 10米/卷</x:v>
      </x:c>
      <x:c r="F64" s="106" t="n">
        <x:v>1</x:v>
      </x:c>
      <x:c r="G64" s="112" t="n">
        <x:v>8.49</x:v>
      </x:c>
      <x:c r="H64" s="112" t="n">
        <x:v>8.49</x:v>
      </x:c>
      <x:c r="I64" s="115" t="n">
        <x:v>46251</x:v>
      </x:c>
      <x:c r="J64" s="103" t="str">
        <x:v>skygod旗舰店</x:v>
      </x:c>
      <x:c r="K64" s="100"/>
      <x:c r="L64" s="100"/>
      <x:c r="M64" s="100"/>
      <x:c r="N64" s="100"/>
      <x:c r="O64" s="100"/>
      <x:c r="P64" s="109" t="str">
        <x:v>2026-08-17</x:v>
      </x:c>
      <x:c r="Q64" s="109" t="n">
        <x:v>4</x:v>
      </x:c>
      <x:c r="R64" s="103" t="str">
        <x:v>优惠后价；先用后付</x:v>
      </x:c>
    </x:row>
    <x:row r="65" ht="34" customHeight="1">
      <x:c r="A65" s="101" t="str">
        <x:v>ZC-20260817-002</x:v>
      </x:c>
      <x:c r="B65" s="101" t="str">
        <x:v>材料耗材</x:v>
      </x:c>
      <x:c r="C65" s="101" t="str">
        <x:v>低值易耗品</x:v>
      </x:c>
      <x:c r="D65" s="104" t="str">
        <x:v>美标特软硅胶线</x:v>
      </x:c>
      <x:c r="E65" s="104" t="str">
        <x:v>28AWG / 红色 / 10米/卷</x:v>
      </x:c>
      <x:c r="F65" s="107" t="n">
        <x:v>1</x:v>
      </x:c>
      <x:c r="G65" s="113" t="n">
        <x:v>8.49</x:v>
      </x:c>
      <x:c r="H65" s="113" t="n">
        <x:v>8.49</x:v>
      </x:c>
      <x:c r="I65" s="116" t="n">
        <x:v>46251</x:v>
      </x:c>
      <x:c r="J65" s="104" t="str">
        <x:v>skygod旗舰店</x:v>
      </x:c>
      <x:c r="K65" s="101"/>
      <x:c r="L65" s="101"/>
      <x:c r="M65" s="101"/>
      <x:c r="N65" s="101"/>
      <x:c r="O65" s="101"/>
      <x:c r="P65" s="110" t="str">
        <x:v>2026-08-17</x:v>
      </x:c>
      <x:c r="Q65" s="110" t="n">
        <x:v>5</x:v>
      </x:c>
      <x:c r="R65" s="104" t="str">
        <x:v>优惠后价；先用后付</x:v>
      </x:c>
    </x:row>
    <x:row r="66" ht="34" customHeight="1">
      <x:c r="A66" s="100" t="str">
        <x:v>ZC-20260817-003</x:v>
      </x:c>
      <x:c r="B66" s="100" t="str">
        <x:v>电子元器件</x:v>
      </x:c>
      <x:c r="C66" s="100" t="str">
        <x:v>项目组件</x:v>
      </x:c>
      <x:c r="D66" s="103" t="str">
        <x:v>XT60母对母延长线</x:v>
      </x:c>
      <x:c r="E66" s="103" t="str">
        <x:v>0.2m / XT60母对母 / 10AWG（5.3mm²）</x:v>
      </x:c>
      <x:c r="F66" s="106" t="n">
        <x:v>1</x:v>
      </x:c>
      <x:c r="G66" s="112" t="n">
        <x:v>15.88</x:v>
      </x:c>
      <x:c r="H66" s="112" t="n">
        <x:v>15.88</x:v>
      </x:c>
      <x:c r="I66" s="115" t="n">
        <x:v>46251</x:v>
      </x:c>
      <x:c r="J66" s="103" t="str">
        <x:v>安捷达线束</x:v>
      </x:c>
      <x:c r="K66" s="100"/>
      <x:c r="L66" s="100"/>
      <x:c r="M66" s="100"/>
      <x:c r="N66" s="100"/>
      <x:c r="O66" s="100"/>
      <x:c r="P66" s="109" t="str">
        <x:v>2026-08-17</x:v>
      </x:c>
      <x:c r="Q66" s="109" t="n">
        <x:v>6</x:v>
      </x:c>
      <x:c r="R66" s="103" t="str">
        <x:v>免密支付；包邮</x:v>
      </x:c>
    </x:row>
    <x:row r="67" ht="34" customHeight="1">
      <x:c r="A67" s="102" t="str">
        <x:v>ZC-20260817-004</x:v>
      </x:c>
      <x:c r="B67" s="102" t="str">
        <x:v>材料耗材</x:v>
      </x:c>
      <x:c r="C67" s="102" t="str">
        <x:v>低值易耗品</x:v>
      </x:c>
      <x:c r="D67" s="105" t="str">
        <x:v>六角铜柱机箱螺丝钉</x:v>
      </x:c>
      <x:c r="E67" s="105" t="str">
        <x:v>M3×20+6 / 20颗</x:v>
      </x:c>
      <x:c r="F67" s="108" t="n">
        <x:v>1</x:v>
      </x:c>
      <x:c r="G67" s="114" t="n">
        <x:v>5.66</x:v>
      </x:c>
      <x:c r="H67" s="114" t="n">
        <x:v>5.66</x:v>
      </x:c>
      <x:c r="I67" s="117" t="n">
        <x:v>46251</x:v>
      </x:c>
      <x:c r="J67" s="105" t="str">
        <x:v>固万基官方旗舰店</x:v>
      </x:c>
      <x:c r="K67" s="102"/>
      <x:c r="L67" s="102"/>
      <x:c r="M67" s="102"/>
      <x:c r="N67" s="102"/>
      <x:c r="O67" s="102"/>
      <x:c r="P67" s="111" t="str">
        <x:v>2026-08-17</x:v>
      </x:c>
      <x:c r="Q67" s="111" t="n">
        <x:v>7</x:v>
      </x:c>
      <x:c r="R67" s="105" t="str">
        <x:v>优惠后价；先用后付</x:v>
      </x:c>
    </x:row>
    <x:row r="68" ht="40" customHeight="1">
      <x:c r="A68" s="122" t="str">
        <x:v>ZC-20260817-005</x:v>
      </x:c>
      <x:c r="B68" s="122" t="str">
        <x:v>材料耗材</x:v>
      </x:c>
      <x:c r="C68" s="122" t="str">
        <x:v>低值易耗品</x:v>
      </x:c>
      <x:c r="D68" s="123" t="str">
        <x:v>304不锈钢杯头内六角螺钉</x:v>
      </x:c>
      <x:c r="E68" s="123" t="str">
        <x:v>M3×16 / 100个</x:v>
      </x:c>
      <x:c r="F68" s="124" t="n">
        <x:v>1</x:v>
      </x:c>
      <x:c r="G68" s="126" t="n">
        <x:v>3.63</x:v>
      </x:c>
      <x:c r="H68" s="126" t="n">
        <x:v>3.63</x:v>
      </x:c>
      <x:c r="I68" s="127" t="n">
        <x:v>46251</x:v>
      </x:c>
      <x:c r="J68" s="123" t="str">
        <x:v>楚卫旗舰店</x:v>
      </x:c>
      <x:c r="K68" s="122"/>
      <x:c r="L68" s="122"/>
      <x:c r="M68" s="122"/>
      <x:c r="N68" s="122"/>
      <x:c r="O68" s="122"/>
      <x:c r="P68" s="125" t="str">
        <x:v>2026-08-17</x:v>
      </x:c>
      <x:c r="Q68" s="125" t="n">
        <x:v>8</x:v>
      </x:c>
      <x:c r="R68" s="123" t="str">
        <x:v>先用后付；当前实付0元，预计自动扣款3.63元；订单号3316977480159071850</x:v>
      </x:c>
    </x:row>
    <x:row r="69" ht="42" customHeight="1">
      <x:c r="A69" s="128" t="str">
        <x:v>ZC-20260818-001</x:v>
      </x:c>
      <x:c r="B69" s="128" t="str">
        <x:v>材料耗材</x:v>
      </x:c>
      <x:c r="C69" s="128" t="str">
        <x:v>低值易耗品</x:v>
      </x:c>
      <x:c r="D69" s="131" t="str">
        <x:v>M10密封舱实心螺栓</x:v>
      </x:c>
      <x:c r="E69" s="131" t="str">
        <x:v>铝制密封螺丝 / M10</x:v>
      </x:c>
      <x:c r="F69" s="134" t="n">
        <x:v>4</x:v>
      </x:c>
      <x:c r="G69" s="140" t="n">
        <x:v>25</x:v>
      </x:c>
      <x:c r="H69" s="140" t="n">
        <x:v>100</x:v>
      </x:c>
      <x:c r="I69" s="143" t="n">
        <x:v>46252</x:v>
      </x:c>
      <x:c r="J69" s="131" t="str">
        <x:v>天启ROV97</x:v>
      </x:c>
      <x:c r="K69" s="128"/>
      <x:c r="L69" s="128"/>
      <x:c r="M69" s="128"/>
      <x:c r="N69" s="128"/>
      <x:c r="O69" s="128"/>
      <x:c r="P69" s="137" t="str">
        <x:v>2026-08-18</x:v>
      </x:c>
      <x:c r="Q69" s="137" t="n">
        <x:v>4</x:v>
      </x:c>
      <x:c r="R69" s="131" t="str">
        <x:v>包邮；与M10穿线螺丝同单合计370元</x:v>
      </x:c>
    </x:row>
    <x:row r="70" ht="42" customHeight="1">
      <x:c r="A70" s="129" t="str">
        <x:v>ZC-20260818-002</x:v>
      </x:c>
      <x:c r="B70" s="129" t="str">
        <x:v>材料耗材</x:v>
      </x:c>
      <x:c r="C70" s="129" t="str">
        <x:v>低值易耗品</x:v>
      </x:c>
      <x:c r="D70" s="132" t="str">
        <x:v>M10穿线螺丝</x:v>
      </x:c>
      <x:c r="E70" s="132" t="str">
        <x:v>银色 / 不锈钢 / M10</x:v>
      </x:c>
      <x:c r="F70" s="135" t="n">
        <x:v>9</x:v>
      </x:c>
      <x:c r="G70" s="141" t="n">
        <x:v>30</x:v>
      </x:c>
      <x:c r="H70" s="141" t="n">
        <x:v>270</x:v>
      </x:c>
      <x:c r="I70" s="144" t="n">
        <x:v>46252</x:v>
      </x:c>
      <x:c r="J70" s="132" t="str">
        <x:v>天启ROV97</x:v>
      </x:c>
      <x:c r="K70" s="129"/>
      <x:c r="L70" s="129"/>
      <x:c r="M70" s="129"/>
      <x:c r="N70" s="129"/>
      <x:c r="O70" s="129"/>
      <x:c r="P70" s="138" t="str">
        <x:v>2026-08-18</x:v>
      </x:c>
      <x:c r="Q70" s="138" t="n">
        <x:v>5</x:v>
      </x:c>
      <x:c r="R70" s="132" t="str">
        <x:v>包邮；与密封舱实心螺栓同单合计370元</x:v>
      </x:c>
    </x:row>
    <x:row r="71" ht="42" customHeight="1">
      <x:c r="A71" s="128" t="str">
        <x:v>ZC-20260818-003</x:v>
      </x:c>
      <x:c r="B71" s="128" t="str">
        <x:v>设备及装置</x:v>
      </x:c>
      <x:c r="C71" s="128" t="str">
        <x:v>可周转资产</x:v>
      </x:c>
      <x:c r="D71" s="131" t="str">
        <x:v>TS60水下推进器</x:v>
      </x:c>
      <x:c r="E71" s="131" t="str">
        <x:v>蓝黑500KV正桨 / 推荐12V使用</x:v>
      </x:c>
      <x:c r="F71" s="134" t="n">
        <x:v>3</x:v>
      </x:c>
      <x:c r="G71" s="140" t="n">
        <x:v>189</x:v>
      </x:c>
      <x:c r="H71" s="140" t="n">
        <x:v>567</x:v>
      </x:c>
      <x:c r="I71" s="143" t="n">
        <x:v>46252</x:v>
      </x:c>
      <x:c r="J71" s="131" t="str">
        <x:v>天启ROV97</x:v>
      </x:c>
      <x:c r="K71" s="128"/>
      <x:c r="L71" s="128"/>
      <x:c r="M71" s="128"/>
      <x:c r="N71" s="128"/>
      <x:c r="O71" s="128"/>
      <x:c r="P71" s="137" t="str">
        <x:v>2026-08-18</x:v>
      </x:c>
      <x:c r="Q71" s="137" t="n">
        <x:v>6</x:v>
      </x:c>
      <x:c r="R71" s="131" t="str">
        <x:v>包邮；与电调、密封舱同单；优惠后合计1997元</x:v>
      </x:c>
    </x:row>
    <x:row r="72" ht="42" customHeight="1">
      <x:c r="A72" s="129" t="str">
        <x:v>ZC-20260818-004</x:v>
      </x:c>
      <x:c r="B72" s="129" t="str">
        <x:v>设备及装置</x:v>
      </x:c>
      <x:c r="C72" s="129" t="str">
        <x:v>可周转资产</x:v>
      </x:c>
      <x:c r="D72" s="132" t="str">
        <x:v>35A双向无刷电调</x:v>
      </x:c>
      <x:c r="E72" s="132" t="str">
        <x:v>35A / 双向 / 水下动力</x:v>
      </x:c>
      <x:c r="F72" s="135" t="n">
        <x:v>3</x:v>
      </x:c>
      <x:c r="G72" s="141" t="n">
        <x:v>95</x:v>
      </x:c>
      <x:c r="H72" s="141" t="n">
        <x:v>285</x:v>
      </x:c>
      <x:c r="I72" s="144" t="n">
        <x:v>46252</x:v>
      </x:c>
      <x:c r="J72" s="132" t="str">
        <x:v>天启ROV97</x:v>
      </x:c>
      <x:c r="K72" s="129"/>
      <x:c r="L72" s="129"/>
      <x:c r="M72" s="129"/>
      <x:c r="N72" s="129"/>
      <x:c r="O72" s="129"/>
      <x:c r="P72" s="138" t="str">
        <x:v>2026-08-18</x:v>
      </x:c>
      <x:c r="Q72" s="138" t="n">
        <x:v>7</x:v>
      </x:c>
      <x:c r="R72" s="132" t="str">
        <x:v>包邮；与推进器、密封舱同单；优惠后合计1997元</x:v>
      </x:c>
    </x:row>
    <x:row r="73" ht="72" customHeight="1">
      <x:c r="A73" s="130" t="str">
        <x:v>ZC-20260818-005</x:v>
      </x:c>
      <x:c r="B73" s="130" t="str">
        <x:v>设备及装置</x:v>
      </x:c>
      <x:c r="C73" s="130" t="str">
        <x:v>可周转资产</x:v>
      </x:c>
      <x:c r="D73" s="133" t="str">
        <x:v>海目云水下机器人密封舱</x:v>
      </x:c>
      <x:c r="E73" s="105" t="str">
        <x:v>外径160mm×300mm / 亚克力圆管+半球罩+法兰+金属圈+端盖+密封圈+硅脂+配套螺丝</x:v>
      </x:c>
      <x:c r="F73" s="136" t="n">
        <x:v>1</x:v>
      </x:c>
      <x:c r="G73" s="142" t="n">
        <x:v>1145</x:v>
      </x:c>
      <x:c r="H73" s="142" t="n">
        <x:v>1145</x:v>
      </x:c>
      <x:c r="I73" s="145" t="n">
        <x:v>46252</x:v>
      </x:c>
      <x:c r="J73" s="133" t="str">
        <x:v>VIOCEAN海目云海洋科技企业店</x:v>
      </x:c>
      <x:c r="K73" s="130"/>
      <x:c r="L73" s="130"/>
      <x:c r="M73" s="130"/>
      <x:c r="N73" s="130"/>
      <x:c r="O73" s="130"/>
      <x:c r="P73" s="139" t="str">
        <x:v>2026-08-18</x:v>
      </x:c>
      <x:c r="Q73" s="139" t="n">
        <x:v>8</x:v>
      </x:c>
      <x:c r="R73" s="105" t="str">
        <x:v>优惠后价1145元（标价1150元）；整套含亚克力圆管、半球罩、法兰、金属圈、端盖、密封圈、硅脂和配套螺丝；与推进器、电调同单合计1997元</x:v>
      </x:c>
    </x:row>
    <x:row r="74" ht="42" customHeight="1">
      <x:c r="A74" s="146" t="str">
        <x:v>ZC-20260818-006</x:v>
      </x:c>
      <x:c r="B74" s="146" t="str">
        <x:v>电子元器件</x:v>
      </x:c>
      <x:c r="C74" s="146" t="str">
        <x:v>项目组件</x:v>
      </x:c>
      <x:c r="D74" s="149" t="str">
        <x:v>八合一大电流分电板</x:v>
      </x:c>
      <x:c r="E74" s="149" t="str">
        <x:v>输入XT90 / 输出XT60 / 焊好出货</x:v>
      </x:c>
      <x:c r="F74" s="152" t="n">
        <x:v>1</x:v>
      </x:c>
      <x:c r="G74" s="158" t="n">
        <x:v>97.5</x:v>
      </x:c>
      <x:c r="H74" s="158" t="n">
        <x:v>97.5</x:v>
      </x:c>
      <x:c r="I74" s="161" t="n">
        <x:v>46252</x:v>
      </x:c>
      <x:c r="J74" s="149" t="str">
        <x:v>梁小二模型</x:v>
      </x:c>
      <x:c r="K74" s="146"/>
      <x:c r="L74" s="146"/>
      <x:c r="M74" s="146"/>
      <x:c r="N74" s="146"/>
      <x:c r="O74" s="146"/>
      <x:c r="P74" s="155" t="str">
        <x:v>2026-08-18</x:v>
      </x:c>
      <x:c r="Q74" s="155" t="n">
        <x:v>9</x:v>
      </x:c>
      <x:c r="R74" s="149" t="str">
        <x:v>商品97.50元；运费5.00元另列；实付款102.50元</x:v>
      </x:c>
    </x:row>
    <x:row r="75" ht="42" customHeight="1">
      <x:c r="A75" s="147" t="str">
        <x:v>ZC-20260818-007</x:v>
      </x:c>
      <x:c r="B75" s="147" t="str">
        <x:v>电子元器件</x:v>
      </x:c>
      <x:c r="C75" s="147" t="str">
        <x:v>项目组件</x:v>
      </x:c>
      <x:c r="D75" s="150" t="str">
        <x:v>XT90H黑色母头带线</x:v>
      </x:c>
      <x:c r="E75" s="150" t="str">
        <x:v>XT90H黑母头 / 8AWG（8.29mm²）/ 红黑线 / 10cm</x:v>
      </x:c>
      <x:c r="F75" s="153" t="n">
        <x:v>1</x:v>
      </x:c>
      <x:c r="G75" s="159" t="n">
        <x:v>10.12</x:v>
      </x:c>
      <x:c r="H75" s="159" t="n">
        <x:v>10.12</x:v>
      </x:c>
      <x:c r="I75" s="162" t="n">
        <x:v>46252</x:v>
      </x:c>
      <x:c r="J75" s="150" t="str">
        <x:v>阳光模型上海DIY（截图店名截断）</x:v>
      </x:c>
      <x:c r="K75" s="147"/>
      <x:c r="L75" s="147"/>
      <x:c r="M75" s="147"/>
      <x:c r="N75" s="147"/>
      <x:c r="O75" s="147"/>
      <x:c r="P75" s="156" t="str">
        <x:v>2026-08-18</x:v>
      </x:c>
      <x:c r="Q75" s="156" t="n">
        <x:v>10</x:v>
      </x:c>
      <x:c r="R75" s="150" t="str">
        <x:v>先用后付；确认收货后应付10.12元</x:v>
      </x:c>
    </x:row>
    <x:row r="76" ht="42" customHeight="1">
      <x:c r="A76" s="148" t="str">
        <x:v>ZC-20260818-008</x:v>
      </x:c>
      <x:c r="B76" s="148" t="str">
        <x:v>电子元器件</x:v>
      </x:c>
      <x:c r="C76" s="148" t="str">
        <x:v>项目组件</x:v>
      </x:c>
      <x:c r="D76" s="151" t="str">
        <x:v>XT90H黄色公头带线</x:v>
      </x:c>
      <x:c r="E76" s="151" t="str">
        <x:v>XT90H黄公头 / 8AWG（8.29mm²）/ 红黑线 / 10cm</x:v>
      </x:c>
      <x:c r="F76" s="154" t="n">
        <x:v>1</x:v>
      </x:c>
      <x:c r="G76" s="160" t="n">
        <x:v>11.11</x:v>
      </x:c>
      <x:c r="H76" s="160" t="n">
        <x:v>11.11</x:v>
      </x:c>
      <x:c r="I76" s="163" t="n">
        <x:v>46252</x:v>
      </x:c>
      <x:c r="J76" s="151" t="str">
        <x:v>阳光模型上海DIY（截图店名截断）</x:v>
      </x:c>
      <x:c r="K76" s="148"/>
      <x:c r="L76" s="148"/>
      <x:c r="M76" s="148"/>
      <x:c r="N76" s="148"/>
      <x:c r="O76" s="148"/>
      <x:c r="P76" s="157" t="str">
        <x:v>2026-08-18</x:v>
      </x:c>
      <x:c r="Q76" s="157" t="n">
        <x:v>11</x:v>
      </x:c>
      <x:c r="R76" s="151" t="str">
        <x:v>先用后付；确认收货后应付11.11元</x:v>
      </x:c>
    </x:row>
  </x:sheetData>
  <x:mergeCells>
    <x:mergeCell ref="A1:R1"/>
    <x:mergeCell ref="A2:R2"/>
    <x:mergeCell ref="A3:C3"/>
    <x:mergeCell ref="D3:E3"/>
    <x:mergeCell ref="F3:H3"/>
    <x:mergeCell ref="I3:J3"/>
    <x:mergeCell ref="K3:M3"/>
    <x:mergeCell ref="N3:R3"/>
  </x:mergeCells>
  <x:dataValidations count="3">
    <x:dataValidation type="list" sqref="N7:O63">
      <x:formula1>"在用,闲置,维修中,报废,待确认,已盘点,未盘点"</x:formula1>
    </x:dataValidation>
    <x:dataValidation type="list" sqref="N7:N63">
      <x:formula1>"在用,闲置,维修中,报废,待确认"</x:formula1>
    </x:dataValidation>
    <x:dataValidation type="list" sqref="O7:O63">
      <x:formula1>"已盘点,未盘点,待确认"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01e394cbb742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20" hidden="0" customWidth="1"/>
  </x:cols>
  <x:sheetData>
    <x:row r="1" ht="34" customHeight="1">
      <x:c r="A1" s="67" t="str">
        <x:v>资产分类汇总</x:v>
      </x:c>
      <x:c r="B1" s="67"/>
      <x:c r="C1" s="67"/>
      <x:c r="D1" s="67"/>
    </x:row>
    <x:row r="2">
      <x:c r="A2" s="69" t="str">
        <x:v>汇总结果由“资产清单”公式驱动，可随明细维护同步更新。</x:v>
      </x:c>
      <x:c r="B2" s="69"/>
      <x:c r="C2" s="69"/>
      <x:c r="D2" s="69"/>
    </x:row>
    <x:row r="4" ht="28" customHeight="1">
      <x:c r="A4" s="74" t="str">
        <x:v>管理类别</x:v>
      </x:c>
      <x:c r="B4" s="74" t="str">
        <x:v>条目数</x:v>
      </x:c>
      <x:c r="C4" s="74" t="str">
        <x:v>采购数量</x:v>
      </x:c>
      <x:c r="D4" s="74" t="str">
        <x:v>资产原值（元）</x:v>
      </x:c>
    </x:row>
    <x:row r="5" ht="28" customHeight="1">
      <x:c r="A5" s="70" t="str">
        <x:v>材料耗材</x:v>
      </x:c>
      <x:c r="B5" s="80" t="n">
        <x:f>COUNTIF('资产清单'!$B$7:$B$76,A5)</x:f>
        <x:v>35</x:v>
      </x:c>
      <x:c r="C5" s="80" t="n">
        <x:f>SUMIF('资产清单'!$B$7:$B$76,A5,'资产清单'!$F$7:$F$76)</x:f>
        <x:v>63</x:v>
      </x:c>
      <x:c r="D5" s="82" t="n">
        <x:f>SUMIF('资产清单'!$B$7:$B$76,A5,'资产清单'!$H$7:$H$76)</x:f>
        <x:v>606.48</x:v>
      </x:c>
    </x:row>
    <x:row r="6" ht="28" customHeight="1">
      <x:c r="A6" s="70" t="str">
        <x:v>电子元器件</x:v>
      </x:c>
      <x:c r="B6" s="80" t="n">
        <x:f>COUNTIF('资产清单'!$B$7:$B$76,A6)</x:f>
        <x:v>10</x:v>
      </x:c>
      <x:c r="C6" s="80" t="n">
        <x:f>SUMIF('资产清单'!$B$7:$B$76,A6,'资产清单'!$F$7:$F$76)</x:f>
        <x:v>10</x:v>
      </x:c>
      <x:c r="D6" s="82" t="n">
        <x:f>SUMIF('资产清单'!$B$7:$B$76,A6,'资产清单'!$H$7:$H$76)</x:f>
        <x:v>300.73</x:v>
      </x:c>
    </x:row>
    <x:row r="7" ht="28" customHeight="1">
      <x:c r="A7" s="70" t="str">
        <x:v>工具器具</x:v>
      </x:c>
      <x:c r="B7" s="80" t="n">
        <x:f>COUNTIF('资产清单'!$B$7:$B$76,A7)</x:f>
        <x:v>8</x:v>
      </x:c>
      <x:c r="C7" s="80" t="n">
        <x:f>SUMIF('资产清单'!$B$7:$B$76,A7,'资产清单'!$F$7:$F$76)</x:f>
        <x:v>8</x:v>
      </x:c>
      <x:c r="D7" s="82" t="n">
        <x:f>SUMIF('资产清单'!$B$7:$B$76,A7,'资产清单'!$H$7:$H$76)</x:f>
        <x:v>129.87</x:v>
      </x:c>
    </x:row>
    <x:row r="8" ht="28" customHeight="1">
      <x:c r="A8" s="70" t="str">
        <x:v>设备及装置</x:v>
      </x:c>
      <x:c r="B8" s="80" t="n">
        <x:f>COUNTIF('资产清单'!$B$7:$B$76,A8)</x:f>
        <x:v>14</x:v>
      </x:c>
      <x:c r="C8" s="80" t="n">
        <x:f>SUMIF('资产清单'!$B$7:$B$76,A8,'资产清单'!$F$7:$F$76)</x:f>
        <x:v>18</x:v>
      </x:c>
      <x:c r="D8" s="82" t="n">
        <x:f>SUMIF('资产清单'!$B$7:$B$76,A8,'资产清单'!$H$7:$H$76)</x:f>
        <x:v>5315.01</x:v>
      </x:c>
    </x:row>
    <x:row r="9" ht="28" customHeight="1">
      <x:c r="A9" s="70" t="str">
        <x:v>仪器仪表</x:v>
      </x:c>
      <x:c r="B9" s="80" t="n">
        <x:f>COUNTIF('资产清单'!$B$7:$B$76,A9)</x:f>
        <x:v>3</x:v>
      </x:c>
      <x:c r="C9" s="80" t="n">
        <x:f>SUMIF('资产清单'!$B$7:$B$76,A9,'资产清单'!$F$7:$F$76)</x:f>
        <x:v>3</x:v>
      </x:c>
      <x:c r="D9" s="82" t="n">
        <x:f>SUMIF('资产清单'!$B$7:$B$76,A9,'资产清单'!$H$7:$H$76)</x:f>
        <x:v>320.6</x:v>
      </x:c>
    </x:row>
    <x:row r="10" ht="28" customHeight="1">
      <x:c r="A10" s="77" t="str">
        <x:v>合计</x:v>
      </x:c>
      <x:c r="B10" s="81" t="n">
        <x:f>SUM(B5:B9)</x:f>
        <x:v>70</x:v>
      </x:c>
      <x:c r="C10" s="81" t="n">
        <x:f>SUM(C5:C9)</x:f>
        <x:v>102</x:v>
      </x:c>
      <x:c r="D10" s="83" t="n">
        <x:f>SUM(D5:D9)</x:f>
        <x:v>6672.6900000000005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8" hidden="0" customWidth="1"/>
    <x:col min="5" max="5" width="15" hidden="0" customWidth="1"/>
    <x:col min="6" max="6" width="12" hidden="0" customWidth="1"/>
    <x:col min="7" max="7" width="42" hidden="0" customWidth="1"/>
  </x:cols>
  <x:sheetData>
    <x:row r="1" ht="34" customHeight="1">
      <x:c r="A1" s="67" t="str">
        <x:v>未纳入资产项目</x:v>
      </x:c>
      <x:c r="B1" s="67"/>
      <x:c r="C1" s="67"/>
      <x:c r="D1" s="67"/>
      <x:c r="E1" s="67"/>
      <x:c r="F1" s="67"/>
      <x:c r="G1" s="67"/>
    </x:row>
    <x:row r="2">
      <x:c r="A2" s="86" t="str">
        <x:v>以下项目属于运费、快递费或打包费，用于与采购总额勾稽，但不计入实物资产原值。</x:v>
      </x:c>
      <x:c r="B2" s="86"/>
      <x:c r="C2" s="86"/>
      <x:c r="D2" s="86"/>
      <x:c r="E2" s="86"/>
      <x:c r="F2" s="86"/>
      <x:c r="G2" s="86"/>
    </x:row>
    <x:row r="4" ht="28" customHeight="1">
      <x:c r="A4" s="74" t="str">
        <x:v>日期</x:v>
      </x:c>
      <x:c r="B4" s="74" t="str">
        <x:v>费用名称</x:v>
      </x:c>
      <x:c r="C4" s="74" t="str">
        <x:v>金额（元）</x:v>
      </x:c>
      <x:c r="D4" s="74" t="str">
        <x:v>供应商/店铺</x:v>
      </x:c>
      <x:c r="E4" s="74" t="str">
        <x:v>来源分表</x:v>
      </x:c>
      <x:c r="F4" s="74" t="str">
        <x:v>来源行号</x:v>
      </x:c>
      <x:c r="G4" s="74" t="str">
        <x:v>采购备注</x:v>
      </x:c>
    </x:row>
    <x:row r="5" ht="28" customHeight="1">
      <x:c r="A5" s="88" t="n">
        <x:v>46216</x:v>
      </x:c>
      <x:c r="B5" s="70" t="str">
        <x:v>总运费</x:v>
      </x:c>
      <x:c r="C5" s="82" t="n">
        <x:v>21</x:v>
      </x:c>
      <x:c r="D5" s="70" t="str"/>
      <x:c r="E5" s="70" t="str">
        <x:v>2026-07-13</x:v>
      </x:c>
      <x:c r="F5" s="70" t="n">
        <x:v>17</x:v>
      </x:c>
      <x:c r="G5" s="92" t="str"/>
    </x:row>
    <x:row r="6" ht="28" customHeight="1">
      <x:c r="A6" s="88" t="n">
        <x:v>46231</x:v>
      </x:c>
      <x:c r="B6" s="70" t="str">
        <x:v>顺丰快递费</x:v>
      </x:c>
      <x:c r="C6" s="82" t="n">
        <x:v>27</x:v>
      </x:c>
      <x:c r="D6" s="70" t="str">
        <x:v>顺丰</x:v>
      </x:c>
      <x:c r="E6" s="70" t="str">
        <x:v>2026-07-28</x:v>
      </x:c>
      <x:c r="F6" s="70" t="n">
        <x:v>4</x:v>
      </x:c>
      <x:c r="G6" s="92" t="str">
        <x:v>今日快递费</x:v>
      </x:c>
    </x:row>
    <x:row r="7" ht="28" customHeight="1">
      <x:c r="A7" s="88" t="n">
        <x:v>46241</x:v>
      </x:c>
      <x:c r="B7" s="70" t="str">
        <x:v>运费</x:v>
      </x:c>
      <x:c r="C7" s="82" t="n">
        <x:v>9</x:v>
      </x:c>
      <x:c r="D7" s="70" t="str">
        <x:v>得力文具品牌旗舰店</x:v>
      </x:c>
      <x:c r="E7" s="70" t="str">
        <x:v>2026-08-07</x:v>
      </x:c>
      <x:c r="F7" s="70" t="n">
        <x:v>10</x:v>
      </x:c>
      <x:c r="G7" s="92" t="str">
        <x:v>商品金额18元；运费9元</x:v>
      </x:c>
    </x:row>
    <x:row r="8" ht="28" customHeight="1">
      <x:c r="A8" s="88" t="n">
        <x:v>46248</x:v>
      </x:c>
      <x:c r="B8" s="70" t="str">
        <x:v>打包费</x:v>
      </x:c>
      <x:c r="C8" s="82" t="n">
        <x:v>1</x:v>
      </x:c>
      <x:c r="D8" s="70" t="str">
        <x:v>咚宜佳超市（大学城店）</x:v>
      </x:c>
      <x:c r="E8" s="70" t="str">
        <x:v>2026-08-14</x:v>
      </x:c>
      <x:c r="F8" s="70" t="n">
        <x:v>6</x:v>
      </x:c>
      <x:c r="G8" s="92" t="str">
        <x:v>商品24.50元；打包费1.00元</x:v>
      </x:c>
    </x:row>
    <x:row r="9">
      <x:c r="A9" s="164" t="n">
        <x:v>46252</x:v>
      </x:c>
      <x:c r="B9" s="78" t="str">
        <x:v>运费</x:v>
      </x:c>
      <x:c r="C9" s="89" t="n">
        <x:v>5</x:v>
      </x:c>
      <x:c r="D9" s="78" t="str">
        <x:v>梁小二模型</x:v>
      </x:c>
      <x:c r="E9" s="78" t="str">
        <x:v>2026-08-18</x:v>
      </x:c>
      <x:c r="F9" s="78" t="n">
        <x:v>12</x:v>
      </x:c>
      <x:c r="G9" s="79" t="str">
        <x:v>分电板订单：实付款102.50元=商品97.50元+运费5.00元</x:v>
      </x:c>
    </x:row>
    <x:row r="10">
      <x:c r="A10" t="str">
        <x:v>费用合计</x:v>
      </x:c>
      <x:c r="B10"/>
      <x:c r="C10" s="90" t="n">
        <x:f>SUM(C5:C9)</x:f>
        <x:v>63</x:v>
      </x:c>
      <x:c r="D10"/>
      <x:c r="E10"/>
      <x:c r="F10"/>
      <x:c r="G10"/>
    </x:row>
    <x:row r="11">
      <x:c r="A11" s="11" t="str">
        <x:v>勾稽项目</x:v>
      </x:c>
      <x:c r="B11" s="11" t="str">
        <x:v>金额（元）</x:v>
      </x:c>
    </x:row>
    <x:row r="12">
      <x:c r="A12" t="str">
        <x:v>实物资产原值</x:v>
      </x:c>
      <x:c r="B12" s="90" t="n">
        <x:f>'资产清单'!N3</x:f>
        <x:v>6672.69</x:v>
      </x:c>
    </x:row>
    <x:row r="13">
      <x:c r="A13" t="str">
        <x:v>未纳入费用</x:v>
      </x:c>
      <x:c r="B13" s="90" t="n">
        <x:f>C10</x:f>
        <x:v>63</x:v>
      </x:c>
    </x:row>
    <x:row r="14">
      <x:c r="A14" t="str">
        <x:v>勾稽采购总额</x:v>
      </x:c>
      <x:c r="B14" s="90" t="n">
        <x:f>B12+B13</x:f>
        <x:v>6735.69</x:v>
      </x:c>
    </x:row>
    <x:row r="15">
      <x:c r="A15" t="str">
        <x:v>原采购总额</x:v>
      </x:c>
      <x:c r="B15" s="90" t="n">
        <x:v>6735.69</x:v>
      </x:c>
    </x:row>
    <x:row r="16">
      <x:c r="A16" s="76" t="str">
        <x:v>差额</x:v>
      </x:c>
      <x:c r="B16" s="91" t="n">
        <x:f>B14-B15</x:f>
        <x:v>0</x:v>
      </x:c>
    </x:row>
  </x:sheetData>
  <x:mergeCells>
    <x:mergeCell ref="A1:G1"/>
    <x:mergeCell ref="A2:G2"/>
  </x:mergeCells>
  <x:pageMargins left="0.7" right="0.7" top="0.75" bottom="0.75" header="0.3" footer="0.3"/>
</x:worksheet>
</file>