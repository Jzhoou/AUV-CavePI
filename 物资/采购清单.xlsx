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0c06425c14c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-07-13" sheetId="1" r:id="R6bdd18027fa049b4"/>
    <x:sheet xmlns:r="http://schemas.openxmlformats.org/officeDocument/2006/relationships" name="2026-07-21" sheetId="2" r:id="R3137b6066dfc44ab"/>
    <x:sheet xmlns:r="http://schemas.openxmlformats.org/officeDocument/2006/relationships" name="2026-07-22" sheetId="3" r:id="R5f1e6717845d46d1"/>
    <x:sheet xmlns:r="http://schemas.openxmlformats.org/officeDocument/2006/relationships" name="总计" sheetId="4" r:id="R595b446844a9483e"/>
    <x:sheet xmlns:r="http://schemas.openxmlformats.org/officeDocument/2006/relationships" name="2026-07-24" sheetId="5" r:id="Rfc255b41d4de4531"/>
    <x:sheet xmlns:r="http://schemas.openxmlformats.org/officeDocument/2006/relationships" name="2026-07-28" sheetId="6" r:id="Rc74e662b14a3422b"/>
    <x:sheet xmlns:r="http://schemas.openxmlformats.org/officeDocument/2006/relationships" name="2026-07-29" sheetId="7" r:id="Re13cb68caae14a33"/>
    <x:sheet xmlns:r="http://schemas.openxmlformats.org/officeDocument/2006/relationships" name="2026-08-03" sheetId="8" r:id="R50def68157a14b31"/>
    <x:sheet xmlns:r="http://schemas.openxmlformats.org/officeDocument/2006/relationships" name="2026-08-07" sheetId="9" r:id="Rd8906bde8b1e44f2"/>
    <x:sheet xmlns:r="http://schemas.openxmlformats.org/officeDocument/2006/relationships" name="2026-08-10" sheetId="10" r:id="Rb31dc7e28a3041ea"/>
    <x:sheet xmlns:r="http://schemas.openxmlformats.org/officeDocument/2006/relationships" name="2026-08-14" sheetId="11" r:id="R7af2020762274e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"/>
    <x:numFmt numFmtId="202" formatCode="yyyy-mm-dd"/>
    <x:numFmt numFmtId="203" formatCode="0.00"/>
    <x:numFmt numFmtId="204" formatCode="@"/>
  </x:numFmts>
  <x:fonts count="24">
    <x:font>
      <x:sz val="11"/>
      <x:name val="Carlito"/>
    </x:font>
    <x:font>
      <x:b/>
      <x:sz val="11"/>
      <x:color rgb="FFFFFFFF"/>
      <x:name val="Carlito"/>
    </x:font>
    <x:font>
      <x:i/>
      <x:sz val="11"/>
      <x:color rgb="FF244062"/>
      <x:name val="Carlito"/>
    </x:font>
    <x:font>
      <x:sz val="11"/>
      <x:color rgb="FF1F2937"/>
      <x:name val="Carlito"/>
    </x:font>
    <x:font>
      <x:b/>
      <x:sz val="11"/>
      <x:color rgb="FF244062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244A6D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b/>
      <x:sz val="11"/>
      <x:color rgb="FF1F4E78"/>
      <x:name val="Carlito"/>
    </x:font>
    <x:font>
      <x:b/>
      <x:sz val="16"/>
      <x:color rgb="FFFFFFFF"/>
      <x:name val="Microsoft YaHei"/>
    </x:font>
    <x:font>
      <x:b/>
      <x:sz val="11"/>
      <x:color rgb="FF1F1F1F"/>
      <x:name val="Microsoft YaHei"/>
    </x:font>
    <x:font>
      <x:b/>
      <x:sz val="11"/>
      <x:color rgb="FFFFFFFF"/>
      <x:name val="Microsoft YaHei"/>
    </x:font>
    <x:font>
      <x:sz val="11"/>
      <x:color rgb="FF1F1F1F"/>
      <x:name val="Microsoft YaHei"/>
    </x:font>
    <x:font>
      <x:b/>
      <x:sz val="11"/>
      <x:color rgb="FF1F4E78"/>
      <x:name val="Microsoft YaHei"/>
    </x:font>
    <x:font>
      <x:sz val="11"/>
      <x:color rgb="FF1F1F1F"/>
      <x:name val="Microsoft YaHei"/>
    </x:font>
    <x:font>
      <x:sz val="11"/>
      <x:color rgb="FF1F1F1F"/>
      <x:name val="Microsoft YaHei"/>
    </x:font>
  </x:fonts>
  <x:fills count="55">
    <x:fill>
      <x:patternFill patternType="none"/>
    </x:fill>
    <x:fill>
      <x:patternFill patternType="gray125"/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244062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</x:fills>
  <x:borders count="8">
    <x:border/>
    <x:border>
      <x:left style="thin">
        <x:color rgb="FFB8C4D0"/>
      </x:left>
      <x:right style="thin">
        <x:color rgb="FFB8C4D0"/>
      </x:right>
      <x:top style="thin">
        <x:color rgb="FFB8C4D0"/>
      </x:top>
      <x:bottom style="thin">
        <x:color rgb="FFB8C4D0"/>
      </x:bottom>
    </x:border>
    <x:border>
      <x:left style="medium">
        <x:color rgb="FF244062"/>
      </x:left>
      <x:right style="medium">
        <x:color rgb="FF244062"/>
      </x:right>
      <x:top style="medium">
        <x:color rgb="FF244062"/>
      </x:top>
      <x:bottom style="medium">
        <x:color rgb="FF244062"/>
      </x:bottom>
    </x:border>
    <x:border>
      <x:left style="medium">
        <x:color rgb="FF244A6D"/>
      </x:left>
      <x:right style="medium">
        <x:color rgb="FF244A6D"/>
      </x:right>
      <x:top style="medium">
        <x:color rgb="FF244A6D"/>
      </x:top>
      <x:bottom style="medium">
        <x:color rgb="FF244A6D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5B9BD5"/>
      </x:left>
      <x:right style="thin">
        <x:color rgb="FF5B9BD5"/>
      </x:right>
      <x:top style="thin">
        <x:color rgb="FF5B9BD5"/>
      </x:top>
      <x:bottom style="thin">
        <x:color rgb="FF5B9BD5"/>
      </x:bottom>
    </x:border>
    <x:border>
      <x:left style="medium">
        <x:color rgb="FF1F4E78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</x:borders>
  <x:cellStyleXfs count="1">
    <x:xf numFmtId="0" fontId="0" fillId="0" borderId="0"/>
  </x:cellStyleXfs>
  <x:cellXfs count="48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horizontal="righ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horizontal="right" vertical="center"/>
    </x:xf>
    <x:xf numFmtId="201" fontId="4" fillId="5" borderId="2" xfId="0" applyNumberFormat="1" applyFont="1" applyFill="1" applyBorder="1" applyAlignment="1">
      <x:alignment vertical="center"/>
    </x:xf>
    <x:xf numFmtId="201" fontId="4" fillId="5" borderId="2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horizontal="right" vertical="center"/>
    </x:xf>
    <x:xf numFmtId="0" fontId="2" fillId="3" borderId="0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horizontal="center" vertical="center"/>
    </x:xf>
    <x:xf numFmtId="200" fontId="4" fillId="6" borderId="2" xfId="0" applyNumberFormat="1" applyFont="1" applyFill="1" applyBorder="1" applyAlignment="1">
      <x:alignment vertical="center"/>
    </x:xf>
    <x:xf numFmtId="200" fontId="4" fillId="6" borderId="2" xfId="0" applyNumberFormat="1" applyFont="1" applyFill="1" applyBorder="1" applyAlignment="1">
      <x:alignment horizontal="right" vertical="center"/>
    </x:xf>
    <x:xf numFmtId="201" fontId="3" fillId="0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left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2" xfId="0" applyNumberFormat="1" applyFont="1" applyFill="1" applyBorder="1"/>
    <x:xf numFmtId="0" fontId="4" fillId="10" borderId="2" xfId="0" applyNumberFormat="1" applyFont="1" applyFill="1" applyBorder="1" applyAlignment="1">
      <x:alignment vertical="center"/>
    </x:xf>
    <x:xf numFmtId="0" fontId="4" fillId="10" borderId="2" xfId="0" applyNumberFormat="1" applyFont="1" applyFill="1" applyBorder="1" applyAlignment="1">
      <x:alignment horizontal="right" vertical="center"/>
    </x:xf>
    <x:xf numFmtId="201" fontId="4" fillId="10" borderId="2" xfId="0" applyNumberFormat="1" applyFont="1" applyFill="1" applyBorder="1" applyAlignment="1">
      <x:alignment vertical="center"/>
    </x:xf>
    <x:xf numFmtId="201" fontId="4" fillId="10" borderId="2" xfId="0" applyNumberFormat="1" applyFont="1" applyFill="1" applyBorder="1" applyAlignment="1">
      <x:alignment horizontal="center" vertical="center"/>
    </x:xf>
    <x:xf numFmtId="200" fontId="4" fillId="10" borderId="2" xfId="0" applyNumberFormat="1" applyFont="1" applyFill="1" applyBorder="1" applyAlignment="1">
      <x:alignment vertical="center"/>
    </x:xf>
    <x:xf numFmtId="200" fontId="4" fillId="10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horizontal="center" vertical="center"/>
    </x:xf>
    <x:xf numFmtId="200" fontId="4" fillId="11" borderId="2" xfId="0" applyNumberFormat="1" applyFont="1" applyFill="1" applyBorder="1" applyAlignment="1">
      <x:alignment horizontal="right" vertical="center"/>
    </x:xf>
    <x:xf numFmtId="0" fontId="4" fillId="11" borderId="2" xfId="0" applyNumberFormat="1" applyFont="1" applyFill="1" applyBorder="1" applyAlignment="1">
      <x:alignment vertical="center"/>
    </x:xf>
    <x:xf numFmtId="0" fontId="5" fillId="11" borderId="2" xfId="0" applyNumberFormat="1" applyFont="1" applyFill="1" applyBorder="1" applyAlignment="1">
      <x:alignment horizontal="center" vertical="center"/>
    </x:xf>
    <x:xf numFmtId="200" fontId="5" fillId="11" borderId="2" xfId="0" applyNumberFormat="1" applyFont="1" applyFill="1" applyBorder="1" applyAlignment="1">
      <x:alignment horizontal="right" vertical="center"/>
    </x:xf>
    <x:xf numFmtId="0" fontId="5" fillId="11" borderId="2" xfId="0" applyNumberFormat="1" applyFont="1" applyFill="1" applyBorder="1" applyAlignment="1">
      <x:alignment vertical="center"/>
    </x:xf>
    <x:xf numFmtId="0" fontId="5" fillId="11" borderId="1" xfId="0" applyNumberFormat="1" applyFont="1" applyFill="1" applyBorder="1" applyAlignment="1">
      <x:alignment horizontal="center" vertical="center"/>
    </x:xf>
    <x:xf numFmtId="200" fontId="5" fillId="11" borderId="1" xfId="0" applyNumberFormat="1" applyFont="1" applyFill="1" applyBorder="1" applyAlignment="1">
      <x:alignment horizontal="right" vertical="center"/>
    </x:xf>
    <x:xf numFmtId="0" fontId="5" fillId="11" borderId="1" xfId="0" applyNumberFormat="1" applyFont="1" applyFill="1" applyBorder="1" applyAlignment="1">
      <x:alignment vertical="center"/>
    </x:xf>
    <x:xf numFmtId="202" fontId="5" fillId="11" borderId="1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2" xfId="0" applyNumberFormat="1" applyFont="1" applyFill="1" applyBorder="1"/>
    <x:xf numFmtId="0" fontId="4" fillId="12" borderId="2" xfId="0" applyNumberFormat="1" applyFont="1" applyFill="1" applyBorder="1" applyAlignment="1">
      <x:alignment vertical="center"/>
    </x:xf>
    <x:xf numFmtId="0" fontId="4" fillId="12" borderId="2" xfId="0" applyNumberFormat="1" applyFont="1" applyFill="1" applyBorder="1" applyAlignment="1">
      <x:alignment horizontal="center" vertical="center"/>
    </x:xf>
    <x:xf numFmtId="200" fontId="4" fillId="12" borderId="2" xfId="0" applyNumberFormat="1" applyFont="1" applyFill="1" applyBorder="1" applyAlignment="1">
      <x:alignment vertical="center"/>
    </x:xf>
    <x:xf numFmtId="200" fontId="4" fillId="12" borderId="2" xfId="0" applyNumberFormat="1" applyFont="1" applyFill="1" applyBorder="1" applyAlignment="1">
      <x:alignment horizontal="right" vertical="center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left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1" xfId="0" applyNumberFormat="1" applyFont="1" applyFill="1" applyBorder="1"/>
    <x:xf numFmtId="0" fontId="1" fillId="15" borderId="1" xfId="0" applyNumberFormat="1" applyFont="1" applyFill="1" applyBorder="1" applyAlignment="1">
      <x:alignment wrapText="1"/>
    </x:xf>
    <x:xf numFmtId="0" fontId="1" fillId="15" borderId="1" xfId="0" applyNumberFormat="1" applyFont="1" applyFill="1" applyBorder="1" applyAlignment="1">
      <x:alignment horizontal="center" wrapText="1"/>
    </x:xf>
    <x:xf numFmtId="0" fontId="1" fillId="15" borderId="1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2" xfId="0" applyNumberFormat="1" applyFont="1" applyFill="1" applyBorder="1"/>
    <x:xf numFmtId="0" fontId="4" fillId="16" borderId="2" xfId="0" applyNumberFormat="1" applyFont="1" applyFill="1" applyBorder="1" applyAlignment="1">
      <x:alignment vertical="center"/>
    </x:xf>
    <x:xf numFmtId="0" fontId="4" fillId="16" borderId="2" xfId="0" applyNumberFormat="1" applyFont="1" applyFill="1" applyBorder="1" applyAlignment="1">
      <x:alignment horizontal="right" vertical="center"/>
    </x:xf>
    <x:xf numFmtId="201" fontId="4" fillId="16" borderId="2" xfId="0" applyNumberFormat="1" applyFont="1" applyFill="1" applyBorder="1" applyAlignment="1">
      <x:alignment vertical="center"/>
    </x:xf>
    <x:xf numFmtId="201" fontId="4" fillId="16" borderId="2" xfId="0" applyNumberFormat="1" applyFont="1" applyFill="1" applyBorder="1" applyAlignment="1">
      <x:alignment horizontal="center" vertical="center"/>
    </x:xf>
    <x:xf numFmtId="200" fontId="4" fillId="16" borderId="2" xfId="0" applyNumberFormat="1" applyFont="1" applyFill="1" applyBorder="1" applyAlignment="1">
      <x:alignment vertical="center"/>
    </x:xf>
    <x:xf numFmtId="200" fontId="4" fillId="16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horizontal="center" vertical="center"/>
    </x:xf>
    <x:xf numFmtId="200" fontId="4" fillId="17" borderId="2" xfId="0" applyNumberFormat="1" applyFont="1" applyFill="1" applyBorder="1" applyAlignment="1">
      <x:alignment horizontal="right" vertical="center"/>
    </x:xf>
    <x:xf numFmtId="0" fontId="4" fillId="17" borderId="2" xfId="0" applyNumberFormat="1" applyFont="1" applyFill="1" applyBorder="1" applyAlignment="1">
      <x:alignment vertical="center"/>
    </x:xf>
    <x:xf numFmtId="0" fontId="6" fillId="17" borderId="2" xfId="0" applyNumberFormat="1" applyFont="1" applyFill="1" applyBorder="1" applyAlignment="1">
      <x:alignment horizontal="center" vertical="center"/>
    </x:xf>
    <x:xf numFmtId="200" fontId="6" fillId="17" borderId="2" xfId="0" applyNumberFormat="1" applyFont="1" applyFill="1" applyBorder="1" applyAlignment="1">
      <x:alignment horizontal="right" vertical="center"/>
    </x:xf>
    <x:xf numFmtId="0" fontId="6" fillId="17" borderId="2" xfId="0" applyNumberFormat="1" applyFont="1" applyFill="1" applyBorder="1" applyAlignment="1">
      <x:alignment vertical="center"/>
    </x:xf>
    <x:xf numFmtId="0" fontId="6" fillId="17" borderId="1" xfId="0" applyNumberFormat="1" applyFont="1" applyFill="1" applyBorder="1" applyAlignment="1">
      <x:alignment horizontal="center" vertical="center"/>
    </x:xf>
    <x:xf numFmtId="200" fontId="6" fillId="17" borderId="1" xfId="0" applyNumberFormat="1" applyFont="1" applyFill="1" applyBorder="1" applyAlignment="1">
      <x:alignment horizontal="right" vertical="center"/>
    </x:xf>
    <x:xf numFmtId="0" fontId="6" fillId="17" borderId="1" xfId="0" applyNumberFormat="1" applyFont="1" applyFill="1" applyBorder="1" applyAlignment="1">
      <x:alignment vertical="center"/>
    </x:xf>
    <x:xf numFmtId="202" fontId="6" fillId="17" borderId="1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4" fillId="18" borderId="0" xfId="0" applyNumberFormat="1" applyFont="1" applyFill="1" applyBorder="1"/>
    <x:xf numFmtId="0" fontId="4" fillId="18" borderId="2" xfId="0" applyNumberFormat="1" applyFont="1" applyFill="1" applyBorder="1"/>
    <x:xf numFmtId="0" fontId="4" fillId="18" borderId="2" xfId="0" applyNumberFormat="1" applyFont="1" applyFill="1" applyBorder="1" applyAlignment="1">
      <x:alignment vertical="center"/>
    </x:xf>
    <x:xf numFmtId="0" fontId="4" fillId="18" borderId="2" xfId="0" applyNumberFormat="1" applyFont="1" applyFill="1" applyBorder="1" applyAlignment="1">
      <x:alignment horizontal="center" vertical="center"/>
    </x:xf>
    <x:xf numFmtId="200" fontId="4" fillId="18" borderId="2" xfId="0" applyNumberFormat="1" applyFont="1" applyFill="1" applyBorder="1" applyAlignment="1">
      <x:alignment vertical="center"/>
    </x:xf>
    <x:xf numFmtId="200" fontId="4" fillId="18" borderId="2" xfId="0" applyNumberFormat="1" applyFont="1" applyFill="1" applyBorder="1" applyAlignment="1">
      <x:alignment horizontal="right" vertical="center"/>
    </x:xf>
    <x:xf numFmtId="0" fontId="4" fillId="5" borderId="2" xfId="0" applyNumberFormat="1" applyFont="1" applyFill="1" applyBorder="1" applyAlignment="1">
      <x:alignment horizontal="right" vertical="center" wrapText="1"/>
    </x:xf>
    <x:xf numFmtId="201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200" fontId="4" fillId="5" borderId="2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203" fontId="3" fillId="0" borderId="1" xfId="0" applyNumberFormat="1" applyFont="1" applyFill="1" applyBorder="1" applyAlignment="1">
      <x:alignment horizontal="center" vertical="center" wrapText="1"/>
    </x:xf>
    <x:xf numFmtId="203" fontId="3" fillId="0" borderId="1" xfId="0" applyNumberFormat="1" applyFont="1" applyFill="1" applyBorder="1" applyAlignment="1">
      <x:alignment horizontal="right" vertical="center" wrapText="1"/>
    </x:xf>
    <x:xf numFmtId="203" fontId="4" fillId="5" borderId="2" xfId="0" applyNumberFormat="1" applyFont="1" applyFill="1" applyBorder="1" applyAlignment="1">
      <x:alignment horizontal="center" vertical="center" wrapText="1"/>
    </x:xf>
    <x:xf numFmtId="203" fontId="4" fillId="5" borderId="2" xfId="0" applyNumberFormat="1" applyFont="1" applyFill="1" applyBorder="1" applyAlignment="1">
      <x:alignment vertical="center" wrapText="1"/>
    </x:xf>
    <x:xf numFmtId="203" fontId="4" fillId="5" borderId="2" xfId="0" applyNumberFormat="1" applyFont="1" applyFill="1" applyBorder="1" applyAlignment="1">
      <x:alignment horizontal="right"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4" fillId="19" borderId="2" xfId="0" applyNumberFormat="1" applyFont="1" applyFill="1" applyBorder="1" applyAlignment="1">
      <x:alignment horizontal="right" vertical="center" wrapText="1"/>
    </x:xf>
    <x:xf numFmtId="203" fontId="4" fillId="19" borderId="2" xfId="0" applyNumberFormat="1" applyFont="1" applyFill="1" applyBorder="1" applyAlignment="1">
      <x:alignment horizontal="center" vertical="center" wrapText="1"/>
    </x:xf>
    <x:xf numFmtId="203" fontId="4" fillId="19" borderId="2" xfId="0" applyNumberFormat="1" applyFont="1" applyFill="1" applyBorder="1" applyAlignment="1">
      <x:alignment vertical="center" wrapText="1"/>
    </x:xf>
    <x:xf numFmtId="203" fontId="4" fillId="19" borderId="2" xfId="0" applyNumberFormat="1" applyFont="1" applyFill="1" applyBorder="1" applyAlignment="1">
      <x:alignment horizontal="right" vertical="center" wrapText="1"/>
    </x:xf>
    <x:xf numFmtId="0" fontId="4" fillId="19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wrapText="1"/>
    </x:xf>
    <x:xf numFmtId="203" fontId="0" fillId="19" borderId="0" xfId="0" applyNumberFormat="1" applyFont="1" applyFill="1" applyBorder="1" applyAlignment="1">
      <x:alignment wrapText="1"/>
    </x:xf>
    <x:xf numFmtId="0" fontId="7" fillId="19" borderId="2" xfId="0" applyNumberFormat="1" applyFont="1" applyFill="1" applyBorder="1" applyAlignment="1">
      <x:alignment horizontal="right" vertical="center" wrapText="1"/>
    </x:xf>
    <x:xf numFmtId="203" fontId="7" fillId="19" borderId="2" xfId="0" applyNumberFormat="1" applyFont="1" applyFill="1" applyBorder="1" applyAlignment="1">
      <x:alignment horizontal="center" vertical="center" wrapText="1"/>
    </x:xf>
    <x:xf numFmtId="203" fontId="7" fillId="19" borderId="2" xfId="0" applyNumberFormat="1" applyFont="1" applyFill="1" applyBorder="1" applyAlignment="1">
      <x:alignment vertical="center" wrapText="1"/>
    </x:xf>
    <x:xf numFmtId="203" fontId="7" fillId="19" borderId="2" xfId="0" applyNumberFormat="1" applyFont="1" applyFill="1" applyBorder="1" applyAlignment="1">
      <x:alignment horizontal="right" vertical="center" wrapText="1"/>
    </x:xf>
    <x:xf numFmtId="0" fontId="7" fillId="19" borderId="2" xfId="0" applyNumberFormat="1" applyFont="1" applyFill="1" applyBorder="1" applyAlignment="1">
      <x:alignment vertical="center" wrapText="1"/>
    </x:xf>
    <x:xf numFmtId="0" fontId="7" fillId="19" borderId="0" xfId="0" applyNumberFormat="1" applyFont="1" applyFill="1" applyBorder="1" applyAlignment="1">
      <x:alignment wrapText="1"/>
    </x:xf>
    <x:xf numFmtId="203" fontId="7" fillId="19" borderId="0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right" vertical="center" wrapText="1"/>
    </x:xf>
    <x:xf numFmtId="203" fontId="7" fillId="19" borderId="1" xfId="0" applyNumberFormat="1" applyFont="1" applyFill="1" applyBorder="1" applyAlignment="1">
      <x:alignment horizontal="center" vertical="center" wrapText="1"/>
    </x:xf>
    <x:xf numFmtId="203" fontId="7" fillId="19" borderId="1" xfId="0" applyNumberFormat="1" applyFont="1" applyFill="1" applyBorder="1" applyAlignment="1">
      <x:alignment vertical="center" wrapText="1"/>
    </x:xf>
    <x:xf numFmtId="203" fontId="7" fillId="19" borderId="1" xfId="0" applyNumberFormat="1" applyFont="1" applyFill="1" applyBorder="1" applyAlignment="1">
      <x:alignment horizontal="right" vertical="center" wrapText="1"/>
    </x:xf>
    <x:xf numFmtId="0" fontId="7" fillId="19" borderId="1" xfId="0" applyNumberFormat="1" applyFont="1" applyFill="1" applyBorder="1" applyAlignment="1">
      <x:alignment vertical="center" wrapText="1"/>
    </x:xf>
    <x:xf numFmtId="0" fontId="7" fillId="19" borderId="1" xfId="0" applyNumberFormat="1" applyFont="1" applyFill="1" applyBorder="1" applyAlignment="1">
      <x:alignment wrapText="1"/>
    </x:xf>
    <x:xf numFmtId="203" fontId="7" fillId="19" borderId="1" xfId="0" applyNumberFormat="1" applyFont="1" applyFill="1" applyBorder="1" applyAlignment="1">
      <x:alignment wrapText="1"/>
    </x:xf>
    <x:xf numFmtId="0" fontId="7" fillId="19" borderId="1" xfId="0" applyNumberFormat="1" applyFont="1" applyFill="1" applyBorder="1" applyAlignment="1">
      <x:alignment horizontal="center" vertical="center" wrapText="1"/>
    </x:xf>
    <x:xf numFmtId="0" fontId="7" fillId="19" borderId="1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203" fontId="0" fillId="20" borderId="0" xfId="0" applyNumberFormat="1" applyFont="1" applyFill="1" applyBorder="1"/>
    <x:xf numFmtId="0" fontId="8" fillId="20" borderId="0" xfId="0" applyNumberFormat="1" applyFont="1" applyFill="1" applyBorder="1"/>
    <x:xf numFmtId="203" fontId="8" fillId="20" borderId="0" xfId="0" applyNumberFormat="1" applyFont="1" applyFill="1" applyBorder="1"/>
    <x:xf numFmtId="0" fontId="8" fillId="20" borderId="3" xfId="0" applyNumberFormat="1" applyFont="1" applyFill="1" applyBorder="1"/>
    <x:xf numFmtId="203" fontId="8" fillId="20" borderId="3" xfId="0" applyNumberFormat="1" applyFont="1" applyFill="1" applyBorder="1"/>
    <x:xf numFmtId="0" fontId="8" fillId="20" borderId="3" xfId="0" applyNumberFormat="1" applyFont="1" applyFill="1" applyBorder="1" applyAlignment="1">
      <x:alignment vertical="center"/>
    </x:xf>
    <x:xf numFmtId="203" fontId="8" fillId="20" borderId="3" xfId="0" applyNumberFormat="1" applyFont="1" applyFill="1" applyBorder="1" applyAlignment="1">
      <x:alignment vertical="center"/>
    </x:xf>
    <x:xf numFmtId="0" fontId="8" fillId="20" borderId="3" xfId="0" applyNumberFormat="1" applyFont="1" applyFill="1" applyBorder="1" applyAlignment="1">
      <x:alignment horizontal="right" vertical="center"/>
    </x:xf>
    <x:xf numFmtId="203" fontId="8" fillId="20" borderId="3" xfId="0" applyNumberFormat="1" applyFont="1" applyFill="1" applyBorder="1" applyAlignment="1">
      <x:alignment horizontal="center" vertical="center"/>
    </x:xf>
    <x:xf numFmtId="203" fontId="8" fillId="20" borderId="3" xfId="0" applyNumberFormat="1" applyFont="1" applyFill="1" applyBorder="1" applyAlignment="1">
      <x:alignment horizontal="right" vertical="center"/>
    </x:xf>
    <x:xf numFmtId="201" fontId="7" fillId="19" borderId="1" xfId="0" applyNumberFormat="1" applyFont="1" applyFill="1" applyBorder="1" applyAlignment="1">
      <x:alignment horizontal="center" vertical="center" wrapText="1"/>
    </x:xf>
    <x:xf numFmtId="201" fontId="8" fillId="20" borderId="3" xfId="0" applyNumberFormat="1" applyFont="1" applyFill="1" applyBorder="1" applyAlignment="1">
      <x:alignment horizontal="center" vertical="center"/>
    </x:xf>
    <x:xf numFmtId="200" fontId="7" fillId="19" borderId="1" xfId="0" applyNumberFormat="1" applyFont="1" applyFill="1" applyBorder="1" applyAlignment="1">
      <x:alignment horizontal="right" vertical="center" wrapText="1"/>
    </x:xf>
    <x:xf numFmtId="200" fontId="8" fillId="20" borderId="3" xfId="0" applyNumberFormat="1" applyFont="1" applyFill="1" applyBorder="1" applyAlignment="1">
      <x:alignment vertical="center"/>
    </x:xf>
    <x:xf numFmtId="200" fontId="8" fillId="20" borderId="3" xfId="0" applyNumberFormat="1" applyFont="1" applyFill="1" applyBorder="1" applyAlignment="1">
      <x:alignment horizontal="right" vertical="center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horizontal="center"/>
    </x:xf>
    <x:xf numFmtId="0" fontId="1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horizontal="left"/>
    </x:xf>
    <x:xf numFmtId="0" fontId="2" fillId="22" borderId="0" xfId="0" applyNumberFormat="1" applyFont="1" applyFill="1" applyBorder="1" applyAlignment="1">
      <x:alignment horizontal="left" vertical="center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1" xfId="0" applyNumberFormat="1" applyFont="1" applyFill="1" applyBorder="1"/>
    <x:xf numFmtId="0" fontId="1" fillId="23" borderId="1" xfId="0" applyNumberFormat="1" applyFont="1" applyFill="1" applyBorder="1" applyAlignment="1">
      <x:alignment wrapText="1"/>
    </x:xf>
    <x:xf numFmtId="0" fontId="1" fillId="23" borderId="1" xfId="0" applyNumberFormat="1" applyFont="1" applyFill="1" applyBorder="1" applyAlignment="1">
      <x:alignment horizontal="center" wrapText="1"/>
    </x:xf>
    <x:xf numFmtId="0" fontId="1" fillId="23" borderId="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9" fillId="24" borderId="0" xfId="0" applyNumberFormat="1" applyFont="1" applyFill="1" applyBorder="1"/>
    <x:xf numFmtId="0" fontId="9" fillId="24" borderId="1" xfId="0" applyNumberFormat="1" applyFont="1" applyFill="1" applyBorder="1"/>
    <x:xf numFmtId="0" fontId="9" fillId="24" borderId="1" xfId="0" applyNumberFormat="1" applyFont="1" applyFill="1" applyBorder="1" applyAlignment="1">
      <x:alignment wrapText="1"/>
    </x:xf>
    <x:xf numFmtId="0" fontId="9" fillId="24" borderId="1" xfId="0" applyNumberFormat="1" applyFont="1" applyFill="1" applyBorder="1" applyAlignment="1">
      <x:alignment vertical="center" wrapText="1"/>
    </x:xf>
    <x:xf numFmtId="0" fontId="9" fillId="24" borderId="1" xfId="0" applyNumberFormat="1" applyFont="1" applyFill="1" applyBorder="1" applyAlignment="1">
      <x:alignment horizontal="center" vertical="center" wrapText="1"/>
    </x:xf>
    <x:xf numFmtId="0" fontId="9" fillId="24" borderId="1" xfId="0" applyNumberFormat="1" applyFont="1" applyFill="1" applyBorder="1" applyAlignment="1">
      <x:alignment horizontal="right" vertical="center" wrapText="1"/>
    </x:xf>
    <x:xf numFmtId="0" fontId="9" fillId="24" borderId="1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3" xfId="0" applyNumberFormat="1" applyFont="1" applyFill="1" applyBorder="1"/>
    <x:xf numFmtId="0" fontId="8" fillId="25" borderId="3" xfId="0" applyNumberFormat="1" applyFont="1" applyFill="1" applyBorder="1" applyAlignment="1">
      <x:alignment vertical="center"/>
    </x:xf>
    <x:xf numFmtId="0" fontId="8" fillId="25" borderId="3" xfId="0" applyNumberFormat="1" applyFont="1" applyFill="1" applyBorder="1" applyAlignment="1">
      <x:alignment horizontal="right" vertical="center"/>
    </x:xf>
    <x:xf numFmtId="0" fontId="8" fillId="25" borderId="3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 wrapText="1"/>
    </x:xf>
    <x:xf numFmtId="201" fontId="8" fillId="25" borderId="3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 wrapText="1"/>
    </x:xf>
    <x:xf numFmtId="200" fontId="8" fillId="25" borderId="3" xfId="0" applyNumberFormat="1" applyFont="1" applyFill="1" applyBorder="1" applyAlignment="1">
      <x:alignment vertical="center"/>
    </x:xf>
    <x:xf numFmtId="200" fontId="8" fillId="25" borderId="3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horizontal="center" vertical="center"/>
    </x:xf>
    <x:xf numFmtId="200" fontId="4" fillId="24" borderId="2" xfId="0" applyNumberFormat="1" applyFont="1" applyFill="1" applyBorder="1" applyAlignment="1">
      <x:alignment horizontal="right" vertical="center"/>
    </x:xf>
    <x:xf numFmtId="0" fontId="4" fillId="24" borderId="2" xfId="0" applyNumberFormat="1" applyFont="1" applyFill="1" applyBorder="1" applyAlignment="1">
      <x:alignment vertical="center"/>
    </x:xf>
    <x:xf numFmtId="0" fontId="9" fillId="24" borderId="2" xfId="0" applyNumberFormat="1" applyFont="1" applyFill="1" applyBorder="1" applyAlignment="1">
      <x:alignment horizontal="center" vertical="center"/>
    </x:xf>
    <x:xf numFmtId="200" fontId="9" fillId="24" borderId="2" xfId="0" applyNumberFormat="1" applyFont="1" applyFill="1" applyBorder="1" applyAlignment="1">
      <x:alignment horizontal="right" vertical="center"/>
    </x:xf>
    <x:xf numFmtId="0" fontId="9" fillId="24" borderId="2" xfId="0" applyNumberFormat="1" applyFont="1" applyFill="1" applyBorder="1" applyAlignment="1">
      <x:alignment vertical="center"/>
    </x:xf>
    <x:xf numFmtId="0" fontId="9" fillId="24" borderId="1" xfId="0" applyNumberFormat="1" applyFont="1" applyFill="1" applyBorder="1" applyAlignment="1">
      <x:alignment horizontal="center" vertical="center"/>
    </x:xf>
    <x:xf numFmtId="200" fontId="9" fillId="24" borderId="1" xfId="0" applyNumberFormat="1" applyFont="1" applyFill="1" applyBorder="1" applyAlignment="1">
      <x:alignment horizontal="right" vertical="center"/>
    </x:xf>
    <x:xf numFmtId="0" fontId="9" fillId="24" borderId="1" xfId="0" applyNumberFormat="1" applyFont="1" applyFill="1" applyBorder="1" applyAlignment="1">
      <x:alignment vertical="center"/>
    </x:xf>
    <x:xf numFmtId="200" fontId="9" fillId="24" borderId="1" xfId="0" applyNumberFormat="1" applyFont="1" applyFill="1" applyBorder="1" applyAlignment="1">
      <x:alignment horizontal="center" vertical="center"/>
    </x:xf>
    <x:xf numFmtId="0" fontId="9" fillId="24" borderId="1" xfId="0" applyNumberFormat="1" applyFont="1" applyFill="1" applyBorder="1" applyAlignment="1">
      <x:alignment horizontal="left" vertical="center"/>
    </x:xf>
    <x:xf numFmtId="202" fontId="9" fillId="24" borderId="1" xfId="0" applyNumberFormat="1" applyFont="1" applyFill="1" applyBorder="1" applyAlignment="1">
      <x:alignment horizontal="center" vertical="center"/>
    </x:xf>
    <x:xf numFmtId="201" fontId="9" fillId="24" borderId="1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8" fillId="26" borderId="0" xfId="0" applyNumberFormat="1" applyFont="1" applyFill="1" applyBorder="1"/>
    <x:xf numFmtId="0" fontId="8" fillId="26" borderId="3" xfId="0" applyNumberFormat="1" applyFont="1" applyFill="1" applyBorder="1"/>
    <x:xf numFmtId="0" fontId="8" fillId="26" borderId="3" xfId="0" applyNumberFormat="1" applyFont="1" applyFill="1" applyBorder="1" applyAlignment="1">
      <x:alignment vertical="center"/>
    </x:xf>
    <x:xf numFmtId="0" fontId="8" fillId="26" borderId="3" xfId="0" applyNumberFormat="1" applyFont="1" applyFill="1" applyBorder="1" applyAlignment="1">
      <x:alignment horizontal="center" vertical="center"/>
    </x:xf>
    <x:xf numFmtId="0" fontId="8" fillId="26" borderId="3" xfId="0" applyNumberFormat="1" applyFont="1" applyFill="1" applyBorder="1" applyAlignment="1">
      <x:alignment horizontal="right" vertical="center"/>
    </x:xf>
    <x:xf numFmtId="0" fontId="8" fillId="26" borderId="3" xfId="0" applyNumberFormat="1" applyFont="1" applyFill="1" applyBorder="1" applyAlignment="1">
      <x:alignment horizontal="left" vertical="center"/>
    </x:xf>
    <x:xf numFmtId="201" fontId="8" fillId="26" borderId="3" xfId="0" applyNumberFormat="1" applyFont="1" applyFill="1" applyBorder="1" applyAlignment="1">
      <x:alignment horizontal="center" vertical="center"/>
    </x:xf>
    <x:xf numFmtId="200" fontId="8" fillId="26" borderId="3" xfId="0" applyNumberFormat="1" applyFont="1" applyFill="1" applyBorder="1" applyAlignment="1">
      <x:alignment horizontal="right" vertic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2" fillId="28" borderId="0" xfId="0" applyNumberFormat="1" applyFont="1" applyFill="1" applyBorder="1" applyAlignment="1">
      <x:alignment horizontal="left"/>
    </x:xf>
    <x:xf numFmtId="0" fontId="2" fillId="28" borderId="0" xfId="0" applyNumberFormat="1" applyFont="1" applyFill="1" applyBorder="1" applyAlignment="1">
      <x:alignment horizontal="left" vertic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1" xfId="0" applyNumberFormat="1" applyFont="1" applyFill="1" applyBorder="1"/>
    <x:xf numFmtId="0" fontId="1" fillId="29" borderId="1" xfId="0" applyNumberFormat="1" applyFont="1" applyFill="1" applyBorder="1" applyAlignment="1">
      <x:alignment wrapText="1"/>
    </x:xf>
    <x:xf numFmtId="0" fontId="1" fillId="29" borderId="1" xfId="0" applyNumberFormat="1" applyFont="1" applyFill="1" applyBorder="1" applyAlignment="1">
      <x:alignment horizontal="center" wrapText="1"/>
    </x:xf>
    <x:xf numFmtId="0" fontId="1" fillId="29" borderId="1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10" fillId="30" borderId="0" xfId="0" applyNumberFormat="1" applyFont="1" applyFill="1" applyBorder="1"/>
    <x:xf numFmtId="0" fontId="10" fillId="30" borderId="1" xfId="0" applyNumberFormat="1" applyFont="1" applyFill="1" applyBorder="1"/>
    <x:xf numFmtId="0" fontId="10" fillId="30" borderId="1" xfId="0" applyNumberFormat="1" applyFont="1" applyFill="1" applyBorder="1" applyAlignment="1">
      <x:alignment wrapText="1"/>
    </x:xf>
    <x:xf numFmtId="0" fontId="10" fillId="30" borderId="1" xfId="0" applyNumberFormat="1" applyFont="1" applyFill="1" applyBorder="1" applyAlignment="1">
      <x:alignment vertical="center" wrapText="1"/>
    </x:xf>
    <x:xf numFmtId="0" fontId="10" fillId="30" borderId="1" xfId="0" applyNumberFormat="1" applyFont="1" applyFill="1" applyBorder="1" applyAlignment="1">
      <x:alignment horizontal="center" vertical="center" wrapText="1"/>
    </x:xf>
    <x:xf numFmtId="0" fontId="10" fillId="30" borderId="1" xfId="0" applyNumberFormat="1" applyFont="1" applyFill="1" applyBorder="1" applyAlignment="1">
      <x:alignment horizontal="right" vertical="center" wrapText="1"/>
    </x:xf>
    <x:xf numFmtId="0" fontId="10" fillId="30" borderId="1" xfId="0" applyNumberFormat="1" applyFont="1" applyFill="1" applyBorder="1" applyAlignment="1">
      <x:alignment horizontal="left" vertical="center" wrapText="1"/>
    </x:xf>
    <x:xf numFmtId="0" fontId="0" fillId="31" borderId="0" xfId="0" applyNumberFormat="1" applyFont="1" applyFill="1" applyBorder="1"/>
    <x:xf numFmtId="0" fontId="8" fillId="31" borderId="0" xfId="0" applyNumberFormat="1" applyFont="1" applyFill="1" applyBorder="1"/>
    <x:xf numFmtId="0" fontId="8" fillId="31" borderId="3" xfId="0" applyNumberFormat="1" applyFont="1" applyFill="1" applyBorder="1"/>
    <x:xf numFmtId="0" fontId="8" fillId="31" borderId="3" xfId="0" applyNumberFormat="1" applyFont="1" applyFill="1" applyBorder="1" applyAlignment="1">
      <x:alignment vertical="center"/>
    </x:xf>
    <x:xf numFmtId="0" fontId="8" fillId="31" borderId="3" xfId="0" applyNumberFormat="1" applyFont="1" applyFill="1" applyBorder="1" applyAlignment="1">
      <x:alignment horizontal="right" vertical="center"/>
    </x:xf>
    <x:xf numFmtId="0" fontId="8" fillId="31" borderId="3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 wrapText="1"/>
    </x:xf>
    <x:xf numFmtId="201" fontId="8" fillId="31" borderId="3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 wrapText="1"/>
    </x:xf>
    <x:xf numFmtId="200" fontId="8" fillId="31" borderId="3" xfId="0" applyNumberFormat="1" applyFont="1" applyFill="1" applyBorder="1" applyAlignment="1">
      <x:alignment vertical="center"/>
    </x:xf>
    <x:xf numFmtId="200" fontId="8" fillId="31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center" vertical="center"/>
    </x:xf>
    <x:xf numFmtId="201" fontId="8" fillId="30" borderId="3" xfId="0" applyNumberFormat="1" applyFont="1" applyFill="1" applyBorder="1" applyAlignment="1">
      <x:alignment horizontal="center" vertical="center"/>
    </x:xf>
    <x:xf numFmtId="200" fontId="8" fillId="30" borderId="3" xfId="0" applyNumberFormat="1" applyFont="1" applyFill="1" applyBorder="1" applyAlignment="1">
      <x:alignment horizontal="right" vertical="center"/>
    </x:xf>
    <x:xf numFmtId="0" fontId="8" fillId="30" borderId="3" xfId="0" applyNumberFormat="1" applyFont="1" applyFill="1" applyBorder="1" applyAlignment="1">
      <x:alignment horizontal="left" vertical="center"/>
    </x:xf>
    <x:xf numFmtId="0" fontId="10" fillId="30" borderId="3" xfId="0" applyNumberFormat="1" applyFont="1" applyFill="1" applyBorder="1" applyAlignment="1">
      <x:alignment horizontal="center" vertical="center"/>
    </x:xf>
    <x:xf numFmtId="201" fontId="10" fillId="30" borderId="3" xfId="0" applyNumberFormat="1" applyFont="1" applyFill="1" applyBorder="1" applyAlignment="1">
      <x:alignment horizontal="center" vertical="center"/>
    </x:xf>
    <x:xf numFmtId="200" fontId="10" fillId="30" borderId="3" xfId="0" applyNumberFormat="1" applyFont="1" applyFill="1" applyBorder="1" applyAlignment="1">
      <x:alignment horizontal="right" vertical="center"/>
    </x:xf>
    <x:xf numFmtId="0" fontId="10" fillId="30" borderId="3" xfId="0" applyNumberFormat="1" applyFont="1" applyFill="1" applyBorder="1" applyAlignment="1">
      <x:alignment horizontal="left" vertical="center"/>
    </x:xf>
    <x:xf numFmtId="0" fontId="10" fillId="30" borderId="1" xfId="0" applyNumberFormat="1" applyFont="1" applyFill="1" applyBorder="1" applyAlignment="1">
      <x:alignment horizontal="center" vertical="center"/>
    </x:xf>
    <x:xf numFmtId="201" fontId="10" fillId="30" borderId="1" xfId="0" applyNumberFormat="1" applyFont="1" applyFill="1" applyBorder="1" applyAlignment="1">
      <x:alignment horizontal="center" vertical="center"/>
    </x:xf>
    <x:xf numFmtId="200" fontId="10" fillId="30" borderId="1" xfId="0" applyNumberFormat="1" applyFont="1" applyFill="1" applyBorder="1" applyAlignment="1">
      <x:alignment horizontal="right" vertical="center"/>
    </x:xf>
    <x:xf numFmtId="0" fontId="10" fillId="30" borderId="1" xfId="0" applyNumberFormat="1" applyFont="1" applyFill="1" applyBorder="1" applyAlignment="1">
      <x:alignment horizontal="left" vertical="center"/>
    </x:xf>
    <x:xf numFmtId="202" fontId="10" fillId="30" borderId="1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8" fillId="32" borderId="0" xfId="0" applyNumberFormat="1" applyFont="1" applyFill="1" applyBorder="1"/>
    <x:xf numFmtId="0" fontId="8" fillId="32" borderId="3" xfId="0" applyNumberFormat="1" applyFont="1" applyFill="1" applyBorder="1"/>
    <x:xf numFmtId="0" fontId="8" fillId="32" borderId="3" xfId="0" applyNumberFormat="1" applyFont="1" applyFill="1" applyBorder="1" applyAlignment="1">
      <x:alignment vertical="center"/>
    </x:xf>
    <x:xf numFmtId="0" fontId="8" fillId="32" borderId="3" xfId="0" applyNumberFormat="1" applyFont="1" applyFill="1" applyBorder="1" applyAlignment="1">
      <x:alignment horizontal="center" vertical="center"/>
    </x:xf>
    <x:xf numFmtId="0" fontId="8" fillId="32" borderId="3" xfId="0" applyNumberFormat="1" applyFont="1" applyFill="1" applyBorder="1" applyAlignment="1">
      <x:alignment horizontal="right" vertical="center"/>
    </x:xf>
    <x:xf numFmtId="0" fontId="8" fillId="32" borderId="3" xfId="0" applyNumberFormat="1" applyFont="1" applyFill="1" applyBorder="1" applyAlignment="1">
      <x:alignment horizontal="left" vertical="center"/>
    </x:xf>
    <x:xf numFmtId="201" fontId="8" fillId="32" borderId="3" xfId="0" applyNumberFormat="1" applyFont="1" applyFill="1" applyBorder="1" applyAlignment="1">
      <x:alignment horizontal="center" vertical="center"/>
    </x:xf>
    <x:xf numFmtId="200" fontId="8" fillId="32" borderId="3" xfId="0" applyNumberFormat="1" applyFont="1" applyFill="1" applyBorder="1" applyAlignment="1">
      <x:alignment horizontal="right" vertical="center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horizontal="center"/>
    </x:xf>
    <x:xf numFmtId="0" fontId="1" fillId="33" borderId="0" xfId="0" applyNumberFormat="1" applyFont="1" applyFill="1" applyBorder="1" applyAlignment="1">
      <x:alignment horizontal="center" vertical="center"/>
    </x:xf>
    <x:xf numFmtId="0" fontId="0" fillId="34" borderId="0" xfId="0" applyNumberFormat="1" applyFont="1" applyFill="1" applyBorder="1"/>
    <x:xf numFmtId="0" fontId="2" fillId="34" borderId="0" xfId="0" applyNumberFormat="1" applyFont="1" applyFill="1" applyBorder="1"/>
    <x:xf numFmtId="0" fontId="2" fillId="34" borderId="0" xfId="0" applyNumberFormat="1" applyFont="1" applyFill="1" applyBorder="1" applyAlignment="1">
      <x:alignment horizontal="left"/>
    </x:xf>
    <x:xf numFmtId="0" fontId="2" fillId="34" borderId="0" xfId="0" applyNumberFormat="1" applyFont="1" applyFill="1" applyBorder="1" applyAlignment="1">
      <x:alignment horizontal="left" vertical="center"/>
    </x:xf>
    <x:xf numFmtId="0" fontId="0" fillId="35" borderId="0" xfId="0" applyNumberFormat="1" applyFont="1" applyFill="1" applyBorder="1"/>
    <x:xf numFmtId="0" fontId="1" fillId="35" borderId="0" xfId="0" applyNumberFormat="1" applyFont="1" applyFill="1" applyBorder="1"/>
    <x:xf numFmtId="0" fontId="1" fillId="35" borderId="1" xfId="0" applyNumberFormat="1" applyFont="1" applyFill="1" applyBorder="1"/>
    <x:xf numFmtId="0" fontId="1" fillId="35" borderId="1" xfId="0" applyNumberFormat="1" applyFont="1" applyFill="1" applyBorder="1" applyAlignment="1">
      <x:alignment wrapText="1"/>
    </x:xf>
    <x:xf numFmtId="0" fontId="1" fillId="35" borderId="1" xfId="0" applyNumberFormat="1" applyFont="1" applyFill="1" applyBorder="1" applyAlignment="1">
      <x:alignment horizontal="center" wrapText="1"/>
    </x:xf>
    <x:xf numFmtId="0" fontId="1" fillId="35" borderId="1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11" fillId="36" borderId="0" xfId="0" applyNumberFormat="1" applyFont="1" applyFill="1" applyBorder="1"/>
    <x:xf numFmtId="0" fontId="11" fillId="36" borderId="1" xfId="0" applyNumberFormat="1" applyFont="1" applyFill="1" applyBorder="1"/>
    <x:xf numFmtId="0" fontId="11" fillId="36" borderId="1" xfId="0" applyNumberFormat="1" applyFont="1" applyFill="1" applyBorder="1" applyAlignment="1">
      <x:alignment wrapText="1"/>
    </x:xf>
    <x:xf numFmtId="0" fontId="11" fillId="36" borderId="1" xfId="0" applyNumberFormat="1" applyFont="1" applyFill="1" applyBorder="1" applyAlignment="1">
      <x:alignment vertical="center" wrapText="1"/>
    </x:xf>
    <x:xf numFmtId="0" fontId="11" fillId="36" borderId="1" xfId="0" applyNumberFormat="1" applyFont="1" applyFill="1" applyBorder="1" applyAlignment="1">
      <x:alignment horizontal="center" vertical="center" wrapText="1"/>
    </x:xf>
    <x:xf numFmtId="0" fontId="11" fillId="36" borderId="1" xfId="0" applyNumberFormat="1" applyFont="1" applyFill="1" applyBorder="1" applyAlignment="1">
      <x:alignment horizontal="right" vertical="center" wrapText="1"/>
    </x:xf>
    <x:xf numFmtId="0" fontId="11" fillId="36" borderId="1" xfId="0" applyNumberFormat="1" applyFont="1" applyFill="1" applyBorder="1" applyAlignment="1">
      <x:alignment horizontal="left" vertical="center" wrapText="1"/>
    </x:xf>
    <x:xf numFmtId="0" fontId="0" fillId="37" borderId="0" xfId="0" applyNumberFormat="1" applyFont="1" applyFill="1" applyBorder="1"/>
    <x:xf numFmtId="0" fontId="8" fillId="37" borderId="0" xfId="0" applyNumberFormat="1" applyFont="1" applyFill="1" applyBorder="1"/>
    <x:xf numFmtId="0" fontId="8" fillId="37" borderId="3" xfId="0" applyNumberFormat="1" applyFont="1" applyFill="1" applyBorder="1"/>
    <x:xf numFmtId="0" fontId="8" fillId="37" borderId="3" xfId="0" applyNumberFormat="1" applyFont="1" applyFill="1" applyBorder="1" applyAlignment="1">
      <x:alignment vertical="center"/>
    </x:xf>
    <x:xf numFmtId="0" fontId="8" fillId="37" borderId="3" xfId="0" applyNumberFormat="1" applyFont="1" applyFill="1" applyBorder="1" applyAlignment="1">
      <x:alignment horizontal="right" vertical="center"/>
    </x:xf>
    <x:xf numFmtId="0" fontId="8" fillId="37" borderId="3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 wrapText="1"/>
    </x:xf>
    <x:xf numFmtId="201" fontId="8" fillId="37" borderId="3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 wrapText="1"/>
    </x:xf>
    <x:xf numFmtId="200" fontId="8" fillId="37" borderId="3" xfId="0" applyNumberFormat="1" applyFont="1" applyFill="1" applyBorder="1" applyAlignment="1">
      <x:alignment vertical="center"/>
    </x:xf>
    <x:xf numFmtId="200" fontId="8" fillId="37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center" vertical="center"/>
    </x:xf>
    <x:xf numFmtId="201" fontId="8" fillId="36" borderId="3" xfId="0" applyNumberFormat="1" applyFont="1" applyFill="1" applyBorder="1" applyAlignment="1">
      <x:alignment horizontal="center" vertical="center"/>
    </x:xf>
    <x:xf numFmtId="200" fontId="8" fillId="36" borderId="3" xfId="0" applyNumberFormat="1" applyFont="1" applyFill="1" applyBorder="1" applyAlignment="1">
      <x:alignment horizontal="right" vertical="center"/>
    </x:xf>
    <x:xf numFmtId="0" fontId="8" fillId="36" borderId="3" xfId="0" applyNumberFormat="1" applyFont="1" applyFill="1" applyBorder="1" applyAlignment="1">
      <x:alignment horizontal="left" vertical="center"/>
    </x:xf>
    <x:xf numFmtId="0" fontId="11" fillId="36" borderId="3" xfId="0" applyNumberFormat="1" applyFont="1" applyFill="1" applyBorder="1" applyAlignment="1">
      <x:alignment horizontal="center" vertical="center"/>
    </x:xf>
    <x:xf numFmtId="201" fontId="11" fillId="36" borderId="3" xfId="0" applyNumberFormat="1" applyFont="1" applyFill="1" applyBorder="1" applyAlignment="1">
      <x:alignment horizontal="center" vertical="center"/>
    </x:xf>
    <x:xf numFmtId="200" fontId="11" fillId="36" borderId="3" xfId="0" applyNumberFormat="1" applyFont="1" applyFill="1" applyBorder="1" applyAlignment="1">
      <x:alignment horizontal="right" vertical="center"/>
    </x:xf>
    <x:xf numFmtId="0" fontId="11" fillId="36" borderId="3" xfId="0" applyNumberFormat="1" applyFont="1" applyFill="1" applyBorder="1" applyAlignment="1">
      <x:alignment horizontal="left" vertical="center"/>
    </x:xf>
    <x:xf numFmtId="0" fontId="11" fillId="36" borderId="1" xfId="0" applyNumberFormat="1" applyFont="1" applyFill="1" applyBorder="1" applyAlignment="1">
      <x:alignment horizontal="center" vertical="center"/>
    </x:xf>
    <x:xf numFmtId="201" fontId="11" fillId="36" borderId="1" xfId="0" applyNumberFormat="1" applyFont="1" applyFill="1" applyBorder="1" applyAlignment="1">
      <x:alignment horizontal="center" vertical="center"/>
    </x:xf>
    <x:xf numFmtId="200" fontId="11" fillId="36" borderId="1" xfId="0" applyNumberFormat="1" applyFont="1" applyFill="1" applyBorder="1" applyAlignment="1">
      <x:alignment horizontal="right" vertical="center"/>
    </x:xf>
    <x:xf numFmtId="0" fontId="11" fillId="36" borderId="1" xfId="0" applyNumberFormat="1" applyFont="1" applyFill="1" applyBorder="1" applyAlignment="1">
      <x:alignment horizontal="left" vertical="center"/>
    </x:xf>
    <x:xf numFmtId="202" fontId="11" fillId="36" borderId="1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8" fillId="38" borderId="0" xfId="0" applyNumberFormat="1" applyFont="1" applyFill="1" applyBorder="1"/>
    <x:xf numFmtId="0" fontId="8" fillId="38" borderId="3" xfId="0" applyNumberFormat="1" applyFont="1" applyFill="1" applyBorder="1"/>
    <x:xf numFmtId="0" fontId="8" fillId="38" borderId="3" xfId="0" applyNumberFormat="1" applyFont="1" applyFill="1" applyBorder="1" applyAlignment="1">
      <x:alignment vertical="center"/>
    </x:xf>
    <x:xf numFmtId="0" fontId="8" fillId="38" borderId="3" xfId="0" applyNumberFormat="1" applyFont="1" applyFill="1" applyBorder="1" applyAlignment="1">
      <x:alignment horizontal="center" vertical="center"/>
    </x:xf>
    <x:xf numFmtId="0" fontId="8" fillId="38" borderId="3" xfId="0" applyNumberFormat="1" applyFont="1" applyFill="1" applyBorder="1" applyAlignment="1">
      <x:alignment horizontal="right" vertical="center"/>
    </x:xf>
    <x:xf numFmtId="0" fontId="8" fillId="38" borderId="3" xfId="0" applyNumberFormat="1" applyFont="1" applyFill="1" applyBorder="1" applyAlignment="1">
      <x:alignment horizontal="left" vertical="center"/>
    </x:xf>
    <x:xf numFmtId="201" fontId="8" fillId="38" borderId="3" xfId="0" applyNumberFormat="1" applyFont="1" applyFill="1" applyBorder="1" applyAlignment="1">
      <x:alignment horizontal="center" vertical="center"/>
    </x:xf>
    <x:xf numFmtId="200" fontId="8" fillId="38" borderId="3" xfId="0" applyNumberFormat="1" applyFont="1" applyFill="1" applyBorder="1" applyAlignment="1">
      <x:alignment horizontal="right" vertical="center"/>
    </x:xf>
    <x:xf numFmtId="0" fontId="1" fillId="39" borderId="0" xfId="0" applyNumberFormat="1" applyFont="1" applyFill="1" applyBorder="1" applyAlignment="1">
      <x:alignment horizontal="center" vertical="center"/>
    </x:xf>
    <x:xf numFmtId="0" fontId="2" fillId="40" borderId="0" xfId="0" applyNumberFormat="1" applyFont="1" applyFill="1" applyBorder="1" applyAlignment="1">
      <x:alignment horizontal="left" vertical="center"/>
    </x:xf>
    <x:xf numFmtId="0" fontId="1" fillId="41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center" vertical="center" wrapText="1"/>
    </x:xf>
    <x:xf numFmtId="0" fontId="3" fillId="42" borderId="1" xfId="0" applyNumberFormat="1" applyFont="1" applyFill="1" applyBorder="1" applyAlignment="1">
      <x:alignment horizontal="left" vertical="center" wrapText="1"/>
    </x:xf>
    <x:xf numFmtId="201" fontId="3" fillId="42" borderId="1" xfId="0" applyNumberFormat="1" applyFont="1" applyFill="1" applyBorder="1" applyAlignment="1">
      <x:alignment horizontal="center" vertical="center" wrapText="1"/>
    </x:xf>
    <x:xf numFmtId="200" fontId="3" fillId="42" borderId="1" xfId="0" applyNumberFormat="1" applyFont="1" applyFill="1" applyBorder="1" applyAlignment="1">
      <x:alignment horizontal="right" vertical="center" wrapText="1"/>
    </x:xf>
    <x:xf numFmtId="0" fontId="12" fillId="42" borderId="1" xfId="0" applyNumberFormat="1" applyFont="1" applyFill="1" applyBorder="1" applyAlignment="1">
      <x:alignment horizontal="center" vertical="center" wrapText="1"/>
    </x:xf>
    <x:xf numFmtId="0" fontId="12" fillId="42" borderId="1" xfId="0" applyNumberFormat="1" applyFont="1" applyFill="1" applyBorder="1" applyAlignment="1">
      <x:alignment horizontal="left" vertical="center" wrapText="1"/>
    </x:xf>
    <x:xf numFmtId="201" fontId="12" fillId="42" borderId="1" xfId="0" applyNumberFormat="1" applyFont="1" applyFill="1" applyBorder="1" applyAlignment="1">
      <x:alignment horizontal="center" vertical="center" wrapText="1"/>
    </x:xf>
    <x:xf numFmtId="200" fontId="12" fillId="42" borderId="1" xfId="0" applyNumberFormat="1" applyFont="1" applyFill="1" applyBorder="1" applyAlignment="1">
      <x:alignment horizontal="right" vertical="center" wrapText="1"/>
    </x:xf>
    <x:xf numFmtId="0" fontId="8" fillId="43" borderId="3" xfId="0" applyNumberFormat="1" applyFont="1" applyFill="1" applyBorder="1" applyAlignment="1">
      <x:alignment horizontal="right" vertical="center"/>
    </x:xf>
    <x:xf numFmtId="201" fontId="8" fillId="43" borderId="3" xfId="0" applyNumberFormat="1" applyFont="1" applyFill="1" applyBorder="1" applyAlignment="1">
      <x:alignment horizontal="center" vertical="center"/>
    </x:xf>
    <x:xf numFmtId="200" fontId="8" fillId="43" borderId="3" xfId="0" applyNumberFormat="1" applyFont="1" applyFill="1" applyBorder="1" applyAlignment="1">
      <x:alignment vertical="center"/>
    </x:xf>
    <x:xf numFmtId="200" fontId="8" fillId="43" borderId="3" xfId="0" applyNumberFormat="1" applyFont="1" applyFill="1" applyBorder="1" applyAlignment="1">
      <x:alignment horizontal="right" vertical="center"/>
    </x:xf>
    <x:xf numFmtId="0" fontId="8" fillId="43" borderId="3" xfId="0" applyNumberFormat="1" applyFont="1" applyFill="1" applyBorder="1" applyAlignment="1">
      <x:alignment vertical="center"/>
    </x:xf>
    <x:xf numFmtId="202" fontId="3" fillId="42" borderId="1" xfId="0" applyNumberFormat="1" applyFont="1" applyFill="1" applyBorder="1" applyAlignment="1">
      <x:alignment horizontal="center" vertical="center"/>
    </x:xf>
    <x:xf numFmtId="201" fontId="3" fillId="42" borderId="1" xfId="0" applyNumberFormat="1" applyFont="1" applyFill="1" applyBorder="1" applyAlignment="1">
      <x:alignment horizontal="center" vertical="center"/>
    </x:xf>
    <x:xf numFmtId="200" fontId="3" fillId="42" borderId="1" xfId="0" applyNumberFormat="1" applyFont="1" applyFill="1" applyBorder="1" applyAlignment="1">
      <x:alignment horizontal="right" vertical="center"/>
    </x:xf>
    <x:xf numFmtId="0" fontId="3" fillId="42" borderId="1" xfId="0" applyNumberFormat="1" applyFont="1" applyFill="1" applyBorder="1" applyAlignment="1">
      <x:alignment horizontal="left" vertical="center"/>
    </x:xf>
    <x:xf numFmtId="202" fontId="12" fillId="42" borderId="1" xfId="0" applyNumberFormat="1" applyFont="1" applyFill="1" applyBorder="1" applyAlignment="1">
      <x:alignment horizontal="center" vertical="center"/>
    </x:xf>
    <x:xf numFmtId="201" fontId="12" fillId="42" borderId="1" xfId="0" applyNumberFormat="1" applyFont="1" applyFill="1" applyBorder="1" applyAlignment="1">
      <x:alignment horizontal="center" vertical="center"/>
    </x:xf>
    <x:xf numFmtId="200" fontId="12" fillId="42" borderId="1" xfId="0" applyNumberFormat="1" applyFont="1" applyFill="1" applyBorder="1" applyAlignment="1">
      <x:alignment horizontal="right" vertical="center"/>
    </x:xf>
    <x:xf numFmtId="0" fontId="12" fillId="42" borderId="1" xfId="0" applyNumberFormat="1" applyFont="1" applyFill="1" applyBorder="1" applyAlignment="1">
      <x:alignment horizontal="left" vertical="center"/>
    </x:xf>
    <x:xf numFmtId="0" fontId="8" fillId="44" borderId="3" xfId="0" applyNumberFormat="1" applyFont="1" applyFill="1" applyBorder="1" applyAlignment="1">
      <x:alignment horizontal="center" vertical="center"/>
    </x:xf>
    <x:xf numFmtId="201" fontId="8" fillId="44" borderId="3" xfId="0" applyNumberFormat="1" applyFont="1" applyFill="1" applyBorder="1" applyAlignment="1">
      <x:alignment horizontal="center" vertical="center"/>
    </x:xf>
    <x:xf numFmtId="200" fontId="8" fillId="44" borderId="3" xfId="0" applyNumberFormat="1" applyFont="1" applyFill="1" applyBorder="1" applyAlignment="1">
      <x:alignment horizontal="right" vertical="center"/>
    </x:xf>
    <x:xf numFmtId="0" fontId="8" fillId="44" borderId="3" xfId="0" applyNumberFormat="1" applyFont="1" applyFill="1" applyBorder="1" applyAlignment="1">
      <x:alignment horizontal="left" vertical="center"/>
    </x:xf>
    <x:xf numFmtId="0" fontId="0" fillId="45" borderId="0" xfId="0" applyNumberFormat="1" applyFont="1" applyFill="1" applyBorder="1"/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horizontal="center"/>
    </x:xf>
    <x:xf numFmtId="0" fontId="13" fillId="45" borderId="0" xfId="0" applyNumberFormat="1" applyFont="1" applyFill="1" applyBorder="1" applyAlignment="1">
      <x:alignment horizontal="center" vertical="center"/>
    </x:xf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horizontal="left"/>
    </x:xf>
    <x:xf numFmtId="0" fontId="14" fillId="46" borderId="0" xfId="0" applyNumberFormat="1" applyFont="1" applyFill="1" applyBorder="1" applyAlignment="1">
      <x:alignment horizontal="left" vertical="center"/>
    </x:xf>
    <x:xf numFmtId="0" fontId="0" fillId="47" borderId="0" xfId="0" applyNumberFormat="1" applyFont="1" applyFill="1" applyBorder="1"/>
    <x:xf numFmtId="0" fontId="1" fillId="47" borderId="0" xfId="0" applyNumberFormat="1" applyFont="1" applyFill="1" applyBorder="1"/>
    <x:xf numFmtId="0" fontId="1" fillId="47" borderId="4" xfId="0" applyNumberFormat="1" applyFont="1" applyFill="1" applyBorder="1"/>
    <x:xf numFmtId="0" fontId="1" fillId="47" borderId="4" xfId="0" applyNumberFormat="1" applyFont="1" applyFill="1" applyBorder="1" applyAlignment="1">
      <x:alignment wrapText="1"/>
    </x:xf>
    <x:xf numFmtId="0" fontId="1" fillId="47" borderId="4" xfId="0" applyNumberFormat="1" applyFont="1" applyFill="1" applyBorder="1" applyAlignment="1">
      <x:alignment horizontal="center" wrapText="1"/>
    </x:xf>
    <x:xf numFmtId="0" fontId="1" fillId="47" borderId="4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/>
    <x:xf numFmtId="0" fontId="15" fillId="0" borderId="5" xfId="0" applyNumberFormat="1" applyFont="1" applyFill="1" applyBorder="1"/>
    <x:xf numFmtId="0" fontId="15" fillId="0" borderId="5" xfId="0" applyNumberFormat="1" applyFont="1" applyFill="1" applyBorder="1" applyAlignment="1">
      <x:alignment wrapText="1"/>
    </x:xf>
    <x:xf numFmtId="0" fontId="15" fillId="0" borderId="5" xfId="0" applyNumberFormat="1" applyFont="1" applyFill="1" applyBorder="1" applyAlignment="1">
      <x:alignment vertical="center" wrapText="1"/>
    </x:xf>
    <x:xf numFmtId="0" fontId="16" fillId="46" borderId="0" xfId="0" applyNumberFormat="1" applyFont="1" applyFill="1" applyBorder="1"/>
    <x:xf numFmtId="0" fontId="16" fillId="46" borderId="6" xfId="0" applyNumberFormat="1" applyFont="1" applyFill="1" applyBorder="1"/>
    <x:xf numFmtId="0" fontId="16" fillId="46" borderId="6" xfId="0" applyNumberFormat="1" applyFont="1" applyFill="1" applyBorder="1" applyAlignment="1">
      <x:alignment vertical="center"/>
    </x:xf>
    <x:xf numFmtId="0" fontId="15" fillId="0" borderId="5" xfId="0" applyNumberFormat="1" applyFont="1" applyFill="1" applyBorder="1" applyAlignment="1">
      <x:alignment horizontal="center" vertical="center" wrapText="1"/>
    </x:xf>
    <x:xf numFmtId="0" fontId="16" fillId="46" borderId="6" xfId="0" applyNumberFormat="1" applyFont="1" applyFill="1" applyBorder="1" applyAlignment="1">
      <x:alignment horizontal="center" vertical="center"/>
    </x:xf>
    <x:xf numFmtId="0" fontId="1" fillId="47" borderId="4" xfId="0" applyNumberFormat="1" applyFont="1" applyFill="1" applyBorder="1" applyAlignment="1">
      <x:alignment horizontal="right" vertical="center" wrapText="1"/>
    </x:xf>
    <x:xf numFmtId="0" fontId="15" fillId="0" borderId="5" xfId="0" applyNumberFormat="1" applyFont="1" applyFill="1" applyBorder="1" applyAlignment="1">
      <x:alignment horizontal="right" vertical="center" wrapText="1"/>
    </x:xf>
    <x:xf numFmtId="0" fontId="16" fillId="46" borderId="6" xfId="0" applyNumberFormat="1" applyFont="1" applyFill="1" applyBorder="1" applyAlignment="1">
      <x:alignment horizontal="right" vertical="center"/>
    </x:xf>
    <x:xf numFmtId="201" fontId="15" fillId="0" borderId="5" xfId="0" applyNumberFormat="1" applyFont="1" applyFill="1" applyBorder="1" applyAlignment="1">
      <x:alignment horizontal="right" vertical="center" wrapText="1"/>
    </x:xf>
    <x:xf numFmtId="201" fontId="16" fillId="46" borderId="6" xfId="0" applyNumberFormat="1" applyFont="1" applyFill="1" applyBorder="1" applyAlignment="1">
      <x:alignment horizontal="right" vertical="center"/>
    </x:xf>
    <x:xf numFmtId="200" fontId="15" fillId="0" borderId="5" xfId="0" applyNumberFormat="1" applyFont="1" applyFill="1" applyBorder="1" applyAlignment="1">
      <x:alignment horizontal="right" vertical="center" wrapText="1"/>
    </x:xf>
    <x:xf numFmtId="200" fontId="16" fillId="46" borderId="6" xfId="0" applyNumberFormat="1" applyFont="1" applyFill="1" applyBorder="1" applyAlignment="1">
      <x:alignment horizontal="right" vertical="center"/>
    </x:xf>
    <x:xf numFmtId="0" fontId="17" fillId="45" borderId="0" xfId="0" applyNumberFormat="1" applyFont="1" applyFill="1" applyBorder="1" applyAlignment="1">
      <x:alignment horizontal="center" vertical="center"/>
    </x:xf>
    <x:xf numFmtId="0" fontId="18" fillId="46" borderId="0" xfId="0" applyNumberFormat="1" applyFont="1" applyFill="1" applyBorder="1" applyAlignment="1">
      <x:alignment horizontal="left" vertical="center"/>
    </x:xf>
    <x:xf numFmtId="0" fontId="19" fillId="47" borderId="4" xfId="0" applyNumberFormat="1" applyFont="1" applyFill="1" applyBorder="1" applyAlignment="1">
      <x:alignment horizontal="center" vertical="center" wrapText="1"/>
    </x:xf>
    <x:xf numFmtId="0" fontId="19" fillId="47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center" vertical="center" wrapText="1"/>
    </x:xf>
    <x:xf numFmtId="0" fontId="20" fillId="0" borderId="5" xfId="0" applyNumberFormat="1" applyFont="1" applyFill="1" applyBorder="1" applyAlignment="1">
      <x:alignment vertical="center" wrapText="1"/>
    </x:xf>
    <x:xf numFmtId="201" fontId="20" fillId="0" borderId="5" xfId="0" applyNumberFormat="1" applyFont="1" applyFill="1" applyBorder="1" applyAlignment="1">
      <x:alignment horizontal="right" vertical="center" wrapText="1"/>
    </x:xf>
    <x:xf numFmtId="200" fontId="20" fillId="0" borderId="5" xfId="0" applyNumberFormat="1" applyFont="1" applyFill="1" applyBorder="1" applyAlignment="1">
      <x:alignment horizontal="right" vertical="center" wrapText="1"/>
    </x:xf>
    <x:xf numFmtId="0" fontId="21" fillId="46" borderId="6" xfId="0" applyNumberFormat="1" applyFont="1" applyFill="1" applyBorder="1" applyAlignment="1">
      <x:alignment horizontal="center" vertical="center"/>
    </x:xf>
    <x:xf numFmtId="0" fontId="21" fillId="46" borderId="6" xfId="0" applyNumberFormat="1" applyFont="1" applyFill="1" applyBorder="1" applyAlignment="1">
      <x:alignment vertical="center"/>
    </x:xf>
    <x:xf numFmtId="201" fontId="21" fillId="46" borderId="6" xfId="0" applyNumberFormat="1" applyFont="1" applyFill="1" applyBorder="1" applyAlignment="1">
      <x:alignment horizontal="right" vertical="center"/>
    </x:xf>
    <x:xf numFmtId="200" fontId="21" fillId="46" borderId="6" xfId="0" applyNumberFormat="1" applyFont="1" applyFill="1" applyBorder="1" applyAlignment="1">
      <x:alignment horizontal="right" vertical="center"/>
    </x:xf>
    <x:xf numFmtId="202" fontId="8" fillId="6" borderId="3" xfId="0" applyNumberFormat="1" applyFont="1" applyFill="1" applyBorder="1" applyAlignment="1">
      <x:alignment horizontal="center" vertical="center"/>
    </x:xf>
    <x:xf numFmtId="201" fontId="8" fillId="6" borderId="3" xfId="0" applyNumberFormat="1" applyFont="1" applyFill="1" applyBorder="1" applyAlignment="1">
      <x:alignment horizontal="center" vertical="center"/>
    </x:xf>
    <x:xf numFmtId="200" fontId="8" fillId="6" borderId="3" xfId="0" applyNumberFormat="1" applyFont="1" applyFill="1" applyBorder="1" applyAlignment="1">
      <x:alignment horizontal="right" vertical="center"/>
    </x:xf>
    <x:xf numFmtId="204" fontId="8" fillId="6" borderId="3" xfId="0" applyNumberFormat="1" applyFont="1" applyFill="1" applyBorder="1" applyAlignment="1">
      <x:alignment horizontal="left" vertical="center"/>
    </x:xf>
    <x:xf numFmtId="202" fontId="8" fillId="48" borderId="3" xfId="0" applyNumberFormat="1" applyFont="1" applyFill="1" applyBorder="1" applyAlignment="1">
      <x:alignment horizontal="center" vertical="center"/>
    </x:xf>
    <x:xf numFmtId="201" fontId="8" fillId="48" borderId="3" xfId="0" applyNumberFormat="1" applyFont="1" applyFill="1" applyBorder="1" applyAlignment="1">
      <x:alignment horizontal="center" vertical="center"/>
    </x:xf>
    <x:xf numFmtId="200" fontId="8" fillId="48" borderId="3" xfId="0" applyNumberFormat="1" applyFont="1" applyFill="1" applyBorder="1" applyAlignment="1">
      <x:alignment horizontal="right" vertical="center"/>
    </x:xf>
    <x:xf numFmtId="204" fontId="8" fillId="48" borderId="3" xfId="0" applyNumberFormat="1" applyFont="1" applyFill="1" applyBorder="1" applyAlignment="1">
      <x:alignment horizontal="left" vertical="center"/>
    </x:xf>
    <x:xf numFmtId="202" fontId="22" fillId="48" borderId="3" xfId="0" applyNumberFormat="1" applyFont="1" applyFill="1" applyBorder="1" applyAlignment="1">
      <x:alignment horizontal="center" vertical="center"/>
    </x:xf>
    <x:xf numFmtId="201" fontId="22" fillId="48" borderId="3" xfId="0" applyNumberFormat="1" applyFont="1" applyFill="1" applyBorder="1" applyAlignment="1">
      <x:alignment horizontal="center" vertical="center"/>
    </x:xf>
    <x:xf numFmtId="200" fontId="22" fillId="48" borderId="3" xfId="0" applyNumberFormat="1" applyFont="1" applyFill="1" applyBorder="1" applyAlignment="1">
      <x:alignment horizontal="right" vertical="center"/>
    </x:xf>
    <x:xf numFmtId="204" fontId="22" fillId="48" borderId="3" xfId="0" applyNumberFormat="1" applyFont="1" applyFill="1" applyBorder="1" applyAlignment="1">
      <x:alignment horizontal="left" vertical="center"/>
    </x:xf>
    <x:xf numFmtId="202" fontId="22" fillId="48" borderId="4" xfId="0" applyNumberFormat="1" applyFont="1" applyFill="1" applyBorder="1" applyAlignment="1">
      <x:alignment horizontal="center" vertical="center"/>
    </x:xf>
    <x:xf numFmtId="201" fontId="22" fillId="48" borderId="4" xfId="0" applyNumberFormat="1" applyFont="1" applyFill="1" applyBorder="1" applyAlignment="1">
      <x:alignment horizontal="center" vertical="center"/>
    </x:xf>
    <x:xf numFmtId="200" fontId="22" fillId="48" borderId="4" xfId="0" applyNumberFormat="1" applyFont="1" applyFill="1" applyBorder="1" applyAlignment="1">
      <x:alignment horizontal="right" vertical="center"/>
    </x:xf>
    <x:xf numFmtId="204" fontId="22" fillId="48" borderId="4" xfId="0" applyNumberFormat="1" applyFont="1" applyFill="1" applyBorder="1" applyAlignment="1">
      <x:alignment horizontal="left" vertical="center"/>
    </x:xf>
    <x:xf numFmtId="0" fontId="0" fillId="49" borderId="0" xfId="0" applyNumberFormat="1" applyFont="1" applyFill="1" applyBorder="1"/>
    <x:xf numFmtId="0" fontId="21" fillId="49" borderId="0" xfId="0" applyNumberFormat="1" applyFont="1" applyFill="1" applyBorder="1"/>
    <x:xf numFmtId="0" fontId="21" fillId="49" borderId="7" xfId="0" applyNumberFormat="1" applyFont="1" applyFill="1" applyBorder="1"/>
    <x:xf numFmtId="0" fontId="21" fillId="49" borderId="7" xfId="0" applyNumberFormat="1" applyFont="1" applyFill="1" applyBorder="1" applyAlignment="1">
      <x:alignment vertical="center"/>
    </x:xf>
    <x:xf numFmtId="0" fontId="21" fillId="49" borderId="7" xfId="0" applyNumberFormat="1" applyFont="1" applyFill="1" applyBorder="1" applyAlignment="1">
      <x:alignment horizontal="center" vertical="center"/>
    </x:xf>
    <x:xf numFmtId="0" fontId="21" fillId="49" borderId="7" xfId="0" applyNumberFormat="1" applyFont="1" applyFill="1" applyBorder="1" applyAlignment="1">
      <x:alignment horizontal="right" vertical="center"/>
    </x:xf>
    <x:xf numFmtId="0" fontId="21" fillId="49" borderId="7" xfId="0" applyNumberFormat="1" applyFont="1" applyFill="1" applyBorder="1" applyAlignment="1">
      <x:alignment horizontal="left" vertical="center"/>
    </x:xf>
    <x:xf numFmtId="201" fontId="21" fillId="49" borderId="7" xfId="0" applyNumberFormat="1" applyFont="1" applyFill="1" applyBorder="1" applyAlignment="1">
      <x:alignment horizontal="center" vertical="center"/>
    </x:xf>
    <x:xf numFmtId="200" fontId="21" fillId="49" borderId="7" xfId="0" applyNumberFormat="1" applyFont="1" applyFill="1" applyBorder="1" applyAlignment="1">
      <x:alignment horizontal="right" vertical="center"/>
    </x:xf>
    <x:xf numFmtId="0" fontId="0" fillId="50" borderId="0" xfId="0" applyNumberFormat="1" applyFont="1" applyFill="1" applyBorder="1"/>
    <x:xf numFmtId="0" fontId="17" fillId="50" borderId="0" xfId="0" applyNumberFormat="1" applyFont="1" applyFill="1" applyBorder="1"/>
    <x:xf numFmtId="0" fontId="17" fillId="50" borderId="0" xfId="0" applyNumberFormat="1" applyFont="1" applyFill="1" applyBorder="1" applyAlignment="1">
      <x:alignment horizontal="center"/>
    </x:xf>
    <x:xf numFmtId="0" fontId="17" fillId="50" borderId="0" xfId="0" applyNumberFormat="1" applyFont="1" applyFill="1" applyBorder="1" applyAlignment="1">
      <x:alignment horizontal="center" vertical="center"/>
    </x:xf>
    <x:xf numFmtId="0" fontId="0" fillId="51" borderId="0" xfId="0" applyNumberFormat="1" applyFont="1" applyFill="1" applyBorder="1"/>
    <x:xf numFmtId="0" fontId="18" fillId="51" borderId="0" xfId="0" applyNumberFormat="1" applyFont="1" applyFill="1" applyBorder="1"/>
    <x:xf numFmtId="0" fontId="18" fillId="51" borderId="0" xfId="0" applyNumberFormat="1" applyFont="1" applyFill="1" applyBorder="1" applyAlignment="1">
      <x:alignment horizontal="left"/>
    </x:xf>
    <x:xf numFmtId="0" fontId="18" fillId="51" borderId="0" xfId="0" applyNumberFormat="1" applyFont="1" applyFill="1" applyBorder="1" applyAlignment="1">
      <x:alignment horizontal="left" vertical="center"/>
    </x:xf>
    <x:xf numFmtId="0" fontId="0" fillId="52" borderId="0" xfId="0" applyNumberFormat="1" applyFont="1" applyFill="1" applyBorder="1"/>
    <x:xf numFmtId="0" fontId="19" fillId="52" borderId="0" xfId="0" applyNumberFormat="1" applyFont="1" applyFill="1" applyBorder="1"/>
    <x:xf numFmtId="0" fontId="19" fillId="52" borderId="4" xfId="0" applyNumberFormat="1" applyFont="1" applyFill="1" applyBorder="1"/>
    <x:xf numFmtId="0" fontId="19" fillId="52" borderId="4" xfId="0" applyNumberFormat="1" applyFont="1" applyFill="1" applyBorder="1" applyAlignment="1">
      <x:alignment wrapText="1"/>
    </x:xf>
    <x:xf numFmtId="0" fontId="19" fillId="52" borderId="4" xfId="0" applyNumberFormat="1" applyFont="1" applyFill="1" applyBorder="1" applyAlignment="1">
      <x:alignment horizontal="center" wrapText="1"/>
    </x:xf>
    <x:xf numFmtId="0" fontId="19" fillId="52" borderId="4" xfId="0" applyNumberFormat="1" applyFont="1" applyFill="1" applyBorder="1" applyAlignment="1">
      <x:alignment horizontal="center" vertical="center" wrapText="1"/>
    </x:xf>
    <x:xf numFmtId="0" fontId="20" fillId="0" borderId="0" xfId="0" applyNumberFormat="1" applyFont="1" applyFill="1" applyBorder="1"/>
    <x:xf numFmtId="0" fontId="20" fillId="0" borderId="5" xfId="0" applyNumberFormat="1" applyFont="1" applyFill="1" applyBorder="1"/>
    <x:xf numFmtId="0" fontId="20" fillId="0" borderId="5" xfId="0" applyNumberFormat="1" applyFont="1" applyFill="1" applyBorder="1" applyAlignment="1">
      <x:alignment wrapText="1"/>
    </x:xf>
    <x:xf numFmtId="0" fontId="21" fillId="51" borderId="0" xfId="0" applyNumberFormat="1" applyFont="1" applyFill="1" applyBorder="1"/>
    <x:xf numFmtId="0" fontId="21" fillId="51" borderId="6" xfId="0" applyNumberFormat="1" applyFont="1" applyFill="1" applyBorder="1"/>
    <x:xf numFmtId="0" fontId="21" fillId="51" borderId="6" xfId="0" applyNumberFormat="1" applyFont="1" applyFill="1" applyBorder="1" applyAlignment="1">
      <x:alignment vertical="center"/>
    </x:xf>
    <x:xf numFmtId="0" fontId="21" fillId="51" borderId="6" xfId="0" applyNumberFormat="1" applyFont="1" applyFill="1" applyBorder="1" applyAlignment="1">
      <x:alignment horizontal="center" vertical="center"/>
    </x:xf>
    <x:xf numFmtId="0" fontId="19" fillId="52" borderId="4" xfId="0" applyNumberFormat="1" applyFont="1" applyFill="1" applyBorder="1" applyAlignment="1">
      <x:alignment horizontal="right" vertical="center" wrapText="1"/>
    </x:xf>
    <x:xf numFmtId="0" fontId="20" fillId="0" borderId="5" xfId="0" applyNumberFormat="1" applyFont="1" applyFill="1" applyBorder="1" applyAlignment="1">
      <x:alignment horizontal="right" vertical="center" wrapText="1"/>
    </x:xf>
    <x:xf numFmtId="0" fontId="21" fillId="51" borderId="6" xfId="0" applyNumberFormat="1" applyFont="1" applyFill="1" applyBorder="1" applyAlignment="1">
      <x:alignment horizontal="right" vertical="center"/>
    </x:xf>
    <x:xf numFmtId="201" fontId="21" fillId="51" borderId="6" xfId="0" applyNumberFormat="1" applyFont="1" applyFill="1" applyBorder="1" applyAlignment="1">
      <x:alignment horizontal="right" vertical="center"/>
    </x:xf>
    <x:xf numFmtId="200" fontId="21" fillId="51" borderId="6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center" vertical="center"/>
    </x:xf>
    <x:xf numFmtId="201" fontId="21" fillId="53" borderId="7" xfId="0" applyNumberFormat="1" applyFont="1" applyFill="1" applyBorder="1" applyAlignment="1">
      <x:alignment horizontal="center" vertical="center"/>
    </x:xf>
    <x:xf numFmtId="200" fontId="21" fillId="53" borderId="7" xfId="0" applyNumberFormat="1" applyFont="1" applyFill="1" applyBorder="1" applyAlignment="1">
      <x:alignment horizontal="right" vertical="center"/>
    </x:xf>
    <x:xf numFmtId="0" fontId="21" fillId="53" borderId="7" xfId="0" applyNumberFormat="1" applyFont="1" applyFill="1" applyBorder="1" applyAlignment="1">
      <x:alignment horizontal="left" vertical="center"/>
    </x:xf>
    <x:xf numFmtId="0" fontId="23" fillId="53" borderId="7" xfId="0" applyNumberFormat="1" applyFont="1" applyFill="1" applyBorder="1" applyAlignment="1">
      <x:alignment horizontal="center" vertical="center"/>
    </x:xf>
    <x:xf numFmtId="201" fontId="23" fillId="53" borderId="7" xfId="0" applyNumberFormat="1" applyFont="1" applyFill="1" applyBorder="1" applyAlignment="1">
      <x:alignment horizontal="center" vertical="center"/>
    </x:xf>
    <x:xf numFmtId="200" fontId="23" fillId="53" borderId="7" xfId="0" applyNumberFormat="1" applyFont="1" applyFill="1" applyBorder="1" applyAlignment="1">
      <x:alignment horizontal="right" vertical="center"/>
    </x:xf>
    <x:xf numFmtId="0" fontId="23" fillId="53" borderId="7" xfId="0" applyNumberFormat="1" applyFont="1" applyFill="1" applyBorder="1" applyAlignment="1">
      <x:alignment horizontal="left" vertical="center"/>
    </x:xf>
    <x:xf numFmtId="0" fontId="23" fillId="53" borderId="4" xfId="0" applyNumberFormat="1" applyFont="1" applyFill="1" applyBorder="1" applyAlignment="1">
      <x:alignment horizontal="center" vertical="center"/>
    </x:xf>
    <x:xf numFmtId="201" fontId="23" fillId="53" borderId="4" xfId="0" applyNumberFormat="1" applyFont="1" applyFill="1" applyBorder="1" applyAlignment="1">
      <x:alignment horizontal="center" vertical="center"/>
    </x:xf>
    <x:xf numFmtId="200" fontId="23" fillId="53" borderId="4" xfId="0" applyNumberFormat="1" applyFont="1" applyFill="1" applyBorder="1" applyAlignment="1">
      <x:alignment horizontal="right" vertical="center"/>
    </x:xf>
    <x:xf numFmtId="0" fontId="23" fillId="53" borderId="4" xfId="0" applyNumberFormat="1" applyFont="1" applyFill="1" applyBorder="1" applyAlignment="1">
      <x:alignment horizontal="left" vertical="center"/>
    </x:xf>
    <x:xf numFmtId="202" fontId="23" fillId="53" borderId="4" xfId="0" applyNumberFormat="1" applyFont="1" applyFill="1" applyBorder="1" applyAlignment="1">
      <x:alignment horizontal="center" vertical="center"/>
    </x:xf>
    <x:xf numFmtId="204" fontId="23" fillId="53" borderId="4" xfId="0" applyNumberFormat="1" applyFont="1" applyFill="1" applyBorder="1" applyAlignment="1">
      <x:alignment horizontal="left" vertical="center"/>
    </x:xf>
    <x:xf numFmtId="0" fontId="0" fillId="54" borderId="0" xfId="0" applyNumberFormat="1" applyFont="1" applyFill="1" applyBorder="1"/>
    <x:xf numFmtId="0" fontId="21" fillId="54" borderId="0" xfId="0" applyNumberFormat="1" applyFont="1" applyFill="1" applyBorder="1"/>
    <x:xf numFmtId="0" fontId="21" fillId="54" borderId="7" xfId="0" applyNumberFormat="1" applyFont="1" applyFill="1" applyBorder="1"/>
    <x:xf numFmtId="0" fontId="21" fillId="54" borderId="7" xfId="0" applyNumberFormat="1" applyFont="1" applyFill="1" applyBorder="1" applyAlignment="1">
      <x:alignment vertical="center"/>
    </x:xf>
    <x:xf numFmtId="0" fontId="21" fillId="54" borderId="7" xfId="0" applyNumberFormat="1" applyFont="1" applyFill="1" applyBorder="1" applyAlignment="1">
      <x:alignment horizontal="center" vertical="center"/>
    </x:xf>
    <x:xf numFmtId="0" fontId="21" fillId="54" borderId="7" xfId="0" applyNumberFormat="1" applyFont="1" applyFill="1" applyBorder="1" applyAlignment="1">
      <x:alignment horizontal="right" vertical="center"/>
    </x:xf>
    <x:xf numFmtId="0" fontId="21" fillId="54" borderId="7" xfId="0" applyNumberFormat="1" applyFont="1" applyFill="1" applyBorder="1" applyAlignment="1">
      <x:alignment horizontal="left" vertical="center"/>
    </x:xf>
    <x:xf numFmtId="201" fontId="21" fillId="54" borderId="7" xfId="0" applyNumberFormat="1" applyFont="1" applyFill="1" applyBorder="1" applyAlignment="1">
      <x:alignment horizontal="center" vertical="center"/>
    </x:xf>
    <x:xf numFmtId="200" fontId="21" fillId="54" borderId="7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39b2e3f2d340bc" /><Relationship Type="http://schemas.openxmlformats.org/officeDocument/2006/relationships/theme" Target="/xl/theme/theme1.xml" Id="R0aec90d308dc4b0d" /><Relationship Type="http://schemas.openxmlformats.org/officeDocument/2006/relationships/sharedStrings" Target="/xl/sharedStrings.xml" Id="R3a0133fe4837476d" /><Relationship Type="http://schemas.openxmlformats.org/officeDocument/2006/relationships/worksheet" Target="/xl/worksheets/sheet1.xml" Id="R6bdd18027fa049b4" /><Relationship Type="http://schemas.openxmlformats.org/officeDocument/2006/relationships/worksheet" Target="/xl/worksheets/sheet2.xml" Id="R3137b6066dfc44ab" /><Relationship Type="http://schemas.openxmlformats.org/officeDocument/2006/relationships/worksheet" Target="/xl/worksheets/sheet3.xml" Id="R5f1e6717845d46d1" /><Relationship Type="http://schemas.openxmlformats.org/officeDocument/2006/relationships/worksheet" Target="/xl/worksheets/sheet4.xml" Id="R595b446844a9483e" /><Relationship Type="http://schemas.openxmlformats.org/officeDocument/2006/relationships/worksheet" Target="/xl/worksheets/sheet5.xml" Id="Rfc255b41d4de4531" /><Relationship Type="http://schemas.openxmlformats.org/officeDocument/2006/relationships/worksheet" Target="/xl/worksheets/sheet6.xml" Id="Rc74e662b14a3422b" /><Relationship Type="http://schemas.openxmlformats.org/officeDocument/2006/relationships/worksheet" Target="/xl/worksheets/sheet7.xml" Id="Re13cb68caae14a33" /><Relationship Type="http://schemas.openxmlformats.org/officeDocument/2006/relationships/worksheet" Target="/xl/worksheets/sheet8.xml" Id="R50def68157a14b31" /><Relationship Type="http://schemas.openxmlformats.org/officeDocument/2006/relationships/worksheet" Target="/xl/worksheets/sheet9.xml" Id="Rd8906bde8b1e44f2" /><Relationship Type="http://schemas.openxmlformats.org/officeDocument/2006/relationships/worksheet" Target="/xl/worksheets/sheet10.xml" Id="Rb31dc7e28a3041ea" /><Relationship Type="http://schemas.openxmlformats.org/officeDocument/2006/relationships/worksheet" Target="/xl/worksheets/sheet11.xml" Id="R7af2020762274e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2026-07-13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采购日期：2026-07-13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绿林高纯度锡丝</x:v>
      </x:c>
      <x:c r="C4" s="17" t="str">
        <x:v>自带松香/无铅低温</x:v>
      </x:c>
      <x:c r="D4" s="18" t="n">
        <x:v>1</x:v>
      </x:c>
      <x:c r="E4" s="20" t="n">
        <x:v>15.8</x:v>
      </x:c>
      <x:c r="F4" s="20" t="n">
        <x:f>IF(D4="",E4,D4*E4)</x:f>
        <x:v>15.8</x:v>
      </x:c>
      <x:c r="G4" s="17" t="str">
        <x:v>绿林官方旗舰店</x:v>
      </x:c>
      <x:c r="H4" s="17" t="str"/>
    </x:row>
    <x:row r="5" ht="30" customHeight="1">
      <x:c r="A5" s="18" t="n">
        <x:v>2</x:v>
      </x:c>
      <x:c r="B5" s="17" t="str">
        <x:v>绿林烙铁头（刀头）</x:v>
      </x:c>
      <x:c r="C5" s="17" t="str">
        <x:v>通用936内热式</x:v>
      </x:c>
      <x:c r="D5" s="18" t="n">
        <x:v>4</x:v>
      </x:c>
      <x:c r="E5" s="20" t="n">
        <x:v>2.61</x:v>
      </x:c>
      <x:c r="F5" s="20" t="n">
        <x:f>IF(D5="",E5,D5*E5)</x:f>
        <x:v>10.44</x:v>
      </x:c>
      <x:c r="G5" s="17" t="str">
        <x:v>绿林官方旗舰店</x:v>
      </x:c>
      <x:c r="H5" s="17" t="str">
        <x:v>原备注：14</x:v>
      </x:c>
    </x:row>
    <x:row r="6" ht="30" customHeight="1">
      <x:c r="A6" s="18" t="n">
        <x:v>3</x:v>
      </x:c>
      <x:c r="B6" s="17" t="str">
        <x:v>绿林电烙铁</x:v>
      </x:c>
      <x:c r="C6" s="17" t="str">
        <x:v>60W可调温</x:v>
      </x:c>
      <x:c r="D6" s="18" t="n">
        <x:v>1</x:v>
      </x:c>
      <x:c r="E6" s="20" t="n">
        <x:v>25.8</x:v>
      </x:c>
      <x:c r="F6" s="20" t="n">
        <x:f>IF(D6="",E6,D6*E6)</x:f>
        <x:v>25.8</x:v>
      </x:c>
      <x:c r="G6" s="17" t="str">
        <x:v>绿林官方旗舰店</x:v>
      </x:c>
      <x:c r="H6" s="17" t="str"/>
    </x:row>
    <x:row r="7" ht="30" customHeight="1">
      <x:c r="A7" s="18" t="n">
        <x:v>4</x:v>
      </x:c>
      <x:c r="B7" s="17" t="str">
        <x:v>80W航模平衡充电器</x:v>
      </x:c>
      <x:c r="C7" s="17" t="str">
        <x:v>BT2.0第3版/支持1-6S</x:v>
      </x:c>
      <x:c r="D7" s="18" t="n">
        <x:v>1</x:v>
      </x:c>
      <x:c r="E7" s="20" t="n">
        <x:v>149.9</x:v>
      </x:c>
      <x:c r="F7" s="20" t="n">
        <x:f>IF(D7="",E7,D7*E7)</x:f>
        <x:v>149.9</x:v>
      </x:c>
      <x:c r="G7" s="17" t="str">
        <x:v>零轴电子科技企业店</x:v>
      </x:c>
      <x:c r="H7" s="17" t="str">
        <x:v>原备注：14</x:v>
      </x:c>
    </x:row>
    <x:row r="8" ht="30" customHeight="1">
      <x:c r="A8" s="18" t="n">
        <x:v>5</x:v>
      </x:c>
      <x:c r="B8" s="17" t="str">
        <x:v>XT60 Hub分电板</x:v>
      </x:c>
      <x:c r="C8" s="17" t="str">
        <x:v>一拖四扩展板/集线器</x:v>
      </x:c>
      <x:c r="D8" s="18" t="n">
        <x:v>1</x:v>
      </x:c>
      <x:c r="E8" s="20" t="n">
        <x:v>29.9</x:v>
      </x:c>
      <x:c r="F8" s="20" t="n">
        <x:f>IF(D8="",E8,D8*E8)</x:f>
        <x:v>29.9</x:v>
      </x:c>
      <x:c r="G8" s="17" t="str">
        <x:v>Autoro电子科技</x:v>
      </x:c>
      <x:c r="H8" s="17" t="str">
        <x:v>原备注：14</x:v>
      </x:c>
    </x:row>
    <x:row r="9" ht="30" customHeight="1">
      <x:c r="A9" s="18" t="n">
        <x:v>6</x:v>
      </x:c>
      <x:c r="B9" s="17" t="str">
        <x:v>博立方电源模块</x:v>
      </x:c>
      <x:c r="C9" s="17" t="str">
        <x:v>支持2S-12S/带5.3V BEC/XT60</x:v>
      </x:c>
      <x:c r="D9" s="18" t="n">
        <x:v>1</x:v>
      </x:c>
      <x:c r="E9" s="20" t="n">
        <x:v>71.24</x:v>
      </x:c>
      <x:c r="F9" s="20" t="n">
        <x:f>IF(D9="",E9,D9*E9)</x:f>
        <x:v>71.24</x:v>
      </x:c>
      <x:c r="G9" s="17" t="str">
        <x:v>博立方无人机企业店</x:v>
      </x:c>
      <x:c r="H9" s="17" t="str">
        <x:v>原备注：14</x:v>
      </x:c>
    </x:row>
    <x:row r="10" ht="30" customHeight="1">
      <x:c r="A10" s="18" t="n">
        <x:v>7</x:v>
      </x:c>
      <x:c r="B10" s="17" t="str">
        <x:v>航模锂电池</x:v>
      </x:c>
      <x:c r="C10" s="17" t="str">
        <x:v>14.8V 5000mAh 长条</x:v>
      </x:c>
      <x:c r="D10" s="18" t="n">
        <x:v>1</x:v>
      </x:c>
      <x:c r="E10" s="20" t="n">
        <x:v>74.82</x:v>
      </x:c>
      <x:c r="F10" s="20" t="n">
        <x:f>IF(D10="",E10,D10*E10)</x:f>
        <x:v>74.82</x:v>
      </x:c>
      <x:c r="G10" s="17" t="str">
        <x:v>阳河科技</x:v>
      </x:c>
      <x:c r="H10" s="17" t="str">
        <x:v>5000mAh仅做调试使用，后续再选择大容量电池</x:v>
      </x:c>
    </x:row>
    <x:row r="11" ht="30" customHeight="1">
      <x:c r="A11" s="18" t="n">
        <x:v>8</x:v>
      </x:c>
      <x:c r="B11" s="17" t="str">
        <x:v>水下测距传感器</x:v>
      </x:c>
      <x:c r="C11" s="17" t="str">
        <x:v>3米量程/8-800cm</x:v>
      </x:c>
      <x:c r="D11" s="18" t="n">
        <x:v>1</x:v>
      </x:c>
      <x:c r="E11" s="20" t="n">
        <x:v>103</x:v>
      </x:c>
      <x:c r="F11" s="20" t="n">
        <x:f>IF(D11="",E11,D11*E11)</x:f>
        <x:v>103</x:v>
      </x:c>
      <x:c r="G11" s="17" t="str">
        <x:v>深圳市电应普科技</x:v>
      </x:c>
      <x:c r="H11" s="17" t="str">
        <x:v>原备注：14</x:v>
      </x:c>
    </x:row>
    <x:row r="12" ht="30" customHeight="1">
      <x:c r="A12" s="18" t="n">
        <x:v>9</x:v>
      </x:c>
      <x:c r="B12" s="17" t="str">
        <x:v>TS60水下推进器</x:v>
      </x:c>
      <x:c r="C12" s="17" t="str">
        <x:v>蓝黑500/12V</x:v>
      </x:c>
      <x:c r="D12" s="18" t="n">
        <x:v>1</x:v>
      </x:c>
      <x:c r="E12" s="20" t="n">
        <x:v>189</x:v>
      </x:c>
      <x:c r="F12" s="20" t="n">
        <x:f>IF(D12="",E12,D12*E12)</x:f>
        <x:v>189</x:v>
      </x:c>
      <x:c r="G12" s="17" t="str">
        <x:v>淘宝店铺</x:v>
      </x:c>
      <x:c r="H12" s="17" t="str">
        <x:v>先买一个做调试，后续需购足4个</x:v>
      </x:c>
    </x:row>
    <x:row r="13" ht="30" customHeight="1">
      <x:c r="A13" s="18" t="n">
        <x:v>10</x:v>
      </x:c>
      <x:c r="B13" s="17" t="str">
        <x:v>深度计</x:v>
      </x:c>
      <x:c r="C13" s="17" t="str">
        <x:v>MS5837-30Ba TB30</x:v>
      </x:c>
      <x:c r="D13" s="18" t="n">
        <x:v>1</x:v>
      </x:c>
      <x:c r="E13" s="20" t="n">
        <x:v>199</x:v>
      </x:c>
      <x:c r="F13" s="20" t="n">
        <x:f>IF(D13="",E13,D13*E13)</x:f>
        <x:v>199</x:v>
      </x:c>
      <x:c r="G13" s="17" t="str">
        <x:v>淘宝店铺</x:v>
      </x:c>
      <x:c r="H13" s="17" t="str"/>
    </x:row>
    <x:row r="14" ht="30" customHeight="1">
      <x:c r="A14" s="18" t="n">
        <x:v>11</x:v>
      </x:c>
      <x:c r="B14" s="17" t="str">
        <x:v>双向无刷电机电调</x:v>
      </x:c>
      <x:c r="C14" s="17" t="str">
        <x:v>35A水下动力</x:v>
      </x:c>
      <x:c r="D14" s="18" t="n">
        <x:v>1</x:v>
      </x:c>
      <x:c r="E14" s="20" t="n">
        <x:v>95</x:v>
      </x:c>
      <x:c r="F14" s="20" t="n">
        <x:f>IF(D14="",E14,D14*E14)</x:f>
        <x:v>95</x:v>
      </x:c>
      <x:c r="G14" s="17" t="str">
        <x:v>淘宝店铺</x:v>
      </x:c>
      <x:c r="H14" s="17" t="str">
        <x:v>先买一个做调试，后续需购足4个</x:v>
      </x:c>
    </x:row>
    <x:row r="15" ht="30" customHeight="1">
      <x:c r="A15" s="18" t="n">
        <x:v>12</x:v>
      </x:c>
      <x:c r="B15" s="17" t="str">
        <x:v>树莓派4B开发板</x:v>
      </x:c>
      <x:c r="C15" s="17" t="str">
        <x:v>4B/4G基础套餐</x:v>
      </x:c>
      <x:c r="D15" s="18" t="n">
        <x:v>1</x:v>
      </x:c>
      <x:c r="E15" s="20" t="n">
        <x:v>1511.21</x:v>
      </x:c>
      <x:c r="F15" s="20" t="n">
        <x:f>IF(D15="",E15,D15*E15)</x:f>
        <x:v>1511.21</x:v>
      </x:c>
      <x:c r="G15" s="17" t="str">
        <x:v>淘宝店铺</x:v>
      </x:c>
      <x:c r="H15" s="17" t="str"/>
    </x:row>
    <x:row r="16" ht="30" customHeight="1">
      <x:c r="A16" s="18" t="n">
        <x:v>13</x:v>
      </x:c>
      <x:c r="B16" s="17" t="str">
        <x:v>Pixhawk 2.4.8飞控</x:v>
      </x:c>
      <x:c r="C16" s="17" t="str">
        <x:v>无GPS/刷好Ardusub</x:v>
      </x:c>
      <x:c r="D16" s="18" t="n">
        <x:v>1</x:v>
      </x:c>
      <x:c r="E16" s="20" t="n">
        <x:v>599</x:v>
      </x:c>
      <x:c r="F16" s="20" t="n">
        <x:f>IF(D16="",E16,D16*E16)</x:f>
        <x:v>599</x:v>
      </x:c>
      <x:c r="G16" s="17" t="str">
        <x:v>初将科技</x:v>
      </x:c>
      <x:c r="H16" s="17" t="str"/>
    </x:row>
    <x:row r="17" ht="30" customHeight="1">
      <x:c r="A17" s="18" t="n">
        <x:v>14</x:v>
      </x:c>
      <x:c r="B17" s="17" t="str">
        <x:v>总运费</x:v>
      </x:c>
      <x:c r="C17" s="17" t="str"/>
      <x:c r="D17" s="18"/>
      <x:c r="E17" s="20" t="n">
        <x:v>21</x:v>
      </x:c>
      <x:c r="F17" s="20" t="n">
        <x:f>IF(D17="",E17,D17*E17)</x:f>
        <x:v>21</x:v>
      </x:c>
      <x:c r="G17" s="17" t="str"/>
      <x:c r="H17" s="17" t="str"/>
    </x:row>
    <x:row r="18" ht="28" customHeight="1">
      <x:c r="A18" s="25" t="str">
        <x:v>本日合计</x:v>
      </x:c>
      <x:c r="B18" s="25"/>
      <x:c r="C18" s="25"/>
      <x:c r="D18" s="27" t="n">
        <x:f>SUM(D4:D17)</x:f>
        <x:v>16</x:v>
      </x:c>
      <x:c r="E18" s="24"/>
      <x:c r="F18" s="29" t="n">
        <x:f>SUM(F4:F17)</x:f>
        <x:v>3095.11</x:v>
      </x:c>
      <x:c r="G18" s="24"/>
      <x:c r="H18" s="24"/>
    </x:row>
  </x:sheetData>
  <x:mergeCells>
    <x:mergeCell ref="A1:H1"/>
    <x:mergeCell ref="A2:H2"/>
    <x:mergeCell ref="A18:C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2026-07-21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采购日期：2026-07-21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德力西小螺丝刀套装</x:v>
      </x:c>
      <x:c r="C4" s="17" t="str">
        <x:v>45合一/S2+CR-V材质</x:v>
      </x:c>
      <x:c r="D4" s="18" t="n">
        <x:v>1</x:v>
      </x:c>
      <x:c r="E4" s="20" t="n">
        <x:v>27.7</x:v>
      </x:c>
      <x:c r="F4" s="20" t="n">
        <x:f>IF(D4="",E4,D4*E4)</x:f>
        <x:v>27.7</x:v>
      </x:c>
      <x:c r="G4" s="17" t="str">
        <x:v>德力西手动工具旗舰店</x:v>
      </x:c>
      <x:c r="H4" s="17" t="str">
        <x:v>优惠后实付价27.70元；订单页显示实付款0元；订单号3313250403681008294</x:v>
      </x:c>
    </x:row>
    <x:row r="5" ht="28" customHeight="1">
      <x:c r="A5" s="25" t="str">
        <x:v>本日合计</x:v>
      </x:c>
      <x:c r="B5" s="25"/>
      <x:c r="C5" s="25"/>
      <x:c r="D5" s="27" t="n">
        <x:f>SUM(D4:D4)</x:f>
        <x:v>1</x:v>
      </x:c>
      <x:c r="E5" s="24"/>
      <x:c r="F5" s="29" t="n">
        <x:f>SUM(F4:F4)</x:f>
        <x:v>27.7</x:v>
      </x:c>
      <x:c r="G5" s="24"/>
      <x:c r="H5" s="24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4" t="str">
        <x:v>2026-07-22 采购清单</x:v>
      </x:c>
      <x:c r="B1" s="4"/>
      <x:c r="C1" s="4"/>
      <x:c r="D1" s="4"/>
      <x:c r="E1" s="4"/>
      <x:c r="F1" s="4"/>
      <x:c r="G1" s="4"/>
      <x:c r="H1" s="4"/>
    </x:row>
    <x:row r="2" ht="22" customHeight="1">
      <x:c r="A2" s="7" t="str">
        <x:v>采购日期：2026-07-22</x:v>
      </x:c>
      <x:c r="B2" s="7"/>
      <x:c r="C2" s="7"/>
      <x:c r="D2" s="7"/>
      <x:c r="E2" s="7"/>
      <x:c r="F2" s="7"/>
      <x:c r="G2" s="7"/>
      <x:c r="H2" s="7"/>
    </x:row>
    <x:row r="3" ht="26" customHeight="1">
      <x:c r="A3" s="13" t="str">
        <x:v>序号</x:v>
      </x:c>
      <x:c r="B3" s="13" t="str">
        <x:v>商品名称</x:v>
      </x:c>
      <x:c r="C3" s="13" t="str">
        <x:v>规格/型号</x:v>
      </x:c>
      <x:c r="D3" s="13" t="str">
        <x:v>数量</x:v>
      </x:c>
      <x:c r="E3" s="13" t="str">
        <x:v>单价（元）</x:v>
      </x:c>
      <x:c r="F3" s="13" t="str">
        <x:v>金额（元）</x:v>
      </x:c>
      <x:c r="G3" s="13" t="str">
        <x:v>店铺</x:v>
      </x:c>
      <x:c r="H3" s="13" t="str">
        <x:v>备注</x:v>
      </x:c>
    </x:row>
    <x:row r="4" ht="30" customHeight="1">
      <x:c r="A4" s="18" t="n">
        <x:v>1</x:v>
      </x:c>
      <x:c r="B4" s="17" t="str">
        <x:v>单头六角铜柱</x:v>
      </x:c>
      <x:c r="C4" s="17" t="str">
        <x:v>M3×12+3/50支</x:v>
      </x:c>
      <x:c r="D4" s="46" t="n">
        <x:v>1</x:v>
      </x:c>
      <x:c r="E4" s="20" t="n">
        <x:v>8.41</x:v>
      </x:c>
      <x:c r="F4" s="20" t="n">
        <x:f>IF(D4="",E4,D4*E4)</x:f>
        <x:v>8.41</x:v>
      </x:c>
      <x:c r="G4" s="17" t="str">
        <x:v>固万基官方旗舰店</x:v>
      </x:c>
      <x:c r="H4" s="17" t="str">
        <x:v>确认订单优惠后价格</x:v>
      </x:c>
    </x:row>
    <x:row r="5" ht="30" customHeight="1">
      <x:c r="A5" s="18" t="n">
        <x:v>2</x:v>
      </x:c>
      <x:c r="B5" s="17" t="str">
        <x:v>单头六角铜柱</x:v>
      </x:c>
      <x:c r="C5" s="17" t="str">
        <x:v>M3×6+3/100支</x:v>
      </x:c>
      <x:c r="D5" s="46" t="n">
        <x:v>1</x:v>
      </x:c>
      <x:c r="E5" s="20" t="n">
        <x:v>10.93</x:v>
      </x:c>
      <x:c r="F5" s="20" t="n">
        <x:f>IF(D5="",E5,D5*E5)</x:f>
        <x:v>10.93</x:v>
      </x:c>
      <x:c r="G5" s="17" t="str">
        <x:v>固万基官方旗舰店</x:v>
      </x:c>
      <x:c r="H5" s="17" t="str">
        <x:v>确认订单优惠后价格</x:v>
      </x:c>
    </x:row>
    <x:row r="6" ht="30" customHeight="1">
      <x:c r="A6" s="18" t="n">
        <x:v>3</x:v>
      </x:c>
      <x:c r="B6" s="17" t="str">
        <x:v>单头六角铜柱</x:v>
      </x:c>
      <x:c r="C6" s="17" t="str">
        <x:v>M3×15+3/50支</x:v>
      </x:c>
      <x:c r="D6" s="46" t="n">
        <x:v>1</x:v>
      </x:c>
      <x:c r="E6" s="20" t="n">
        <x:v>10.93</x:v>
      </x:c>
      <x:c r="F6" s="20" t="n">
        <x:f>IF(D6="",E6,D6*E6)</x:f>
        <x:v>10.93</x:v>
      </x:c>
      <x:c r="G6" s="17" t="str">
        <x:v>固万基官方旗舰店</x:v>
      </x:c>
      <x:c r="H6" s="17" t="str">
        <x:v>确认订单优惠后价格</x:v>
      </x:c>
    </x:row>
    <x:row r="7" ht="30" customHeight="1">
      <x:c r="A7" s="18" t="n">
        <x:v>4</x:v>
      </x:c>
      <x:c r="B7" s="17" t="str">
        <x:v>单头六角铜柱</x:v>
      </x:c>
      <x:c r="C7" s="17" t="str">
        <x:v>M3×20+3/50支</x:v>
      </x:c>
      <x:c r="D7" s="46" t="n">
        <x:v>1</x:v>
      </x:c>
      <x:c r="E7" s="20" t="n">
        <x:v>12.46</x:v>
      </x:c>
      <x:c r="F7" s="20" t="n">
        <x:f>IF(D7="",E7,D7*E7)</x:f>
        <x:v>12.46</x:v>
      </x:c>
      <x:c r="G7" s="17" t="str">
        <x:v>固万基官方旗舰店</x:v>
      </x:c>
      <x:c r="H7" s="17" t="str">
        <x:v>确认订单优惠后价格</x:v>
      </x:c>
    </x:row>
    <x:row r="8" ht="30" customHeight="1">
      <x:c r="A8" s="18" t="n">
        <x:v>5</x:v>
      </x:c>
      <x:c r="B8" s="17" t="str">
        <x:v>304不锈钢平垫圈</x:v>
      </x:c>
      <x:c r="C8" s="17" t="str">
        <x:v>M5×8×0.5/200只</x:v>
      </x:c>
      <x:c r="D8" s="46" t="n">
        <x:v>1</x:v>
      </x:c>
      <x:c r="E8" s="20" t="n">
        <x:v>4.04</x:v>
      </x:c>
      <x:c r="F8" s="20" t="n">
        <x:f>IF(D8="",E8,D8*E8)</x:f>
        <x:v>4.04</x:v>
      </x:c>
      <x:c r="G8" s="17" t="str">
        <x:v>固万基官方旗舰店</x:v>
      </x:c>
      <x:c r="H8" s="17" t="str">
        <x:v>确认订单优惠后价格</x:v>
      </x:c>
    </x:row>
    <x:row r="9" ht="30" customHeight="1">
      <x:c r="A9" s="18" t="n">
        <x:v>6</x:v>
      </x:c>
      <x:c r="B9" s="17" t="str">
        <x:v>304不锈钢平垫圈</x:v>
      </x:c>
      <x:c r="C9" s="17" t="str">
        <x:v>M4×7×0.5/200只</x:v>
      </x:c>
      <x:c r="D9" s="46" t="n">
        <x:v>1</x:v>
      </x:c>
      <x:c r="E9" s="20" t="n">
        <x:v>3.19</x:v>
      </x:c>
      <x:c r="F9" s="20" t="n">
        <x:f>IF(D9="",E9,D9*E9)</x:f>
        <x:v>3.19</x:v>
      </x:c>
      <x:c r="G9" s="17" t="str">
        <x:v>固万基官方旗舰店</x:v>
      </x:c>
      <x:c r="H9" s="17" t="str">
        <x:v>确认订单优惠后价格</x:v>
      </x:c>
    </x:row>
    <x:row r="10" ht="30" customHeight="1">
      <x:c r="A10" s="18" t="n">
        <x:v>7</x:v>
      </x:c>
      <x:c r="B10" s="17" t="str">
        <x:v>304不锈钢平垫圈</x:v>
      </x:c>
      <x:c r="C10" s="17" t="str">
        <x:v>M3×6×0.5/200只</x:v>
      </x:c>
      <x:c r="D10" s="46" t="n">
        <x:v>1</x:v>
      </x:c>
      <x:c r="E10" s="20" t="n">
        <x:v>3.19</x:v>
      </x:c>
      <x:c r="F10" s="20" t="n">
        <x:f>IF(D10="",E10,D10*E10)</x:f>
        <x:v>3.19</x:v>
      </x:c>
      <x:c r="G10" s="17" t="str">
        <x:v>固万基官方旗舰店</x:v>
      </x:c>
      <x:c r="H10" s="17" t="str">
        <x:v>确认订单优惠后价格</x:v>
      </x:c>
    </x:row>
    <x:row r="11" ht="30" customHeight="1">
      <x:c r="A11" s="18" t="n">
        <x:v>8</x:v>
      </x:c>
      <x:c r="B11" s="17" t="str">
        <x:v>单头六角铜柱</x:v>
      </x:c>
      <x:c r="C11" s="17" t="str">
        <x:v>M3×100+6/5支</x:v>
      </x:c>
      <x:c r="D11" s="46" t="n">
        <x:v>1</x:v>
      </x:c>
      <x:c r="E11" s="20" t="n">
        <x:v>9.46</x:v>
      </x:c>
      <x:c r="F11" s="20" t="n">
        <x:f>IF(D11="",E11,D11*E11)</x:f>
        <x:v>9.46</x:v>
      </x:c>
      <x:c r="G11" s="17" t="str">
        <x:v>固万基官方旗舰店</x:v>
      </x:c>
      <x:c r="H11" s="17" t="str">
        <x:v>确认订单优惠后价格</x:v>
      </x:c>
    </x:row>
    <x:row r="12" ht="30" customHeight="1">
      <x:c r="A12" s="18" t="n">
        <x:v>9</x:v>
      </x:c>
      <x:c r="B12" s="17" t="str">
        <x:v>单头六角铜柱</x:v>
      </x:c>
      <x:c r="C12" s="17" t="str">
        <x:v>M3×24+3/20支</x:v>
      </x:c>
      <x:c r="D12" s="46" t="n">
        <x:v>1</x:v>
      </x:c>
      <x:c r="E12" s="20" t="n">
        <x:v>7.06</x:v>
      </x:c>
      <x:c r="F12" s="20" t="n">
        <x:f>IF(D12="",E12,D12*E12)</x:f>
        <x:v>7.06</x:v>
      </x:c>
      <x:c r="G12" s="17" t="str">
        <x:v>固万基官方旗舰店</x:v>
      </x:c>
      <x:c r="H12" s="17" t="str">
        <x:v>确认订单优惠后价格</x:v>
      </x:c>
    </x:row>
    <x:row r="13" ht="30" customHeight="1">
      <x:c r="A13" s="18" t="n">
        <x:v>10</x:v>
      </x:c>
      <x:c r="B13" s="17" t="str">
        <x:v>数字万用表</x:v>
      </x:c>
      <x:c r="C13" s="17" t="str">
        <x:v>多功能智能防烧/标配+备用电池</x:v>
      </x:c>
      <x:c r="D13" s="46" t="n">
        <x:v>1</x:v>
      </x:c>
      <x:c r="E13" s="20" t="n">
        <x:v>18.6</x:v>
      </x:c>
      <x:c r="F13" s="20" t="n">
        <x:f>IF(D13="",E13,D13*E13)</x:f>
        <x:v>18.6</x:v>
      </x:c>
      <x:c r="G13" s="17" t="str">
        <x:v>嘉华仪器仪表批发中心</x:v>
      </x:c>
      <x:c r="H13" s="17" t="str">
        <x:v>确认订单优惠后价格</x:v>
      </x:c>
    </x:row>
    <x:row r="14" ht="30" customHeight="1">
      <x:c r="A14" s="18" t="n">
        <x:v>11</x:v>
      </x:c>
      <x:c r="B14" s="17" t="str">
        <x:v>304不锈钢六角螺母</x:v>
      </x:c>
      <x:c r="C14" s="17" t="str">
        <x:v>M5/50个</x:v>
      </x:c>
      <x:c r="D14" s="46" t="n">
        <x:v>1</x:v>
      </x:c>
      <x:c r="E14" s="20" t="n">
        <x:v>2.26</x:v>
      </x:c>
      <x:c r="F14" s="20" t="n">
        <x:f>IF(D14="",E14,D14*E14)</x:f>
        <x:v>2.26</x:v>
      </x:c>
      <x:c r="G14" s="17" t="str">
        <x:v>楚卫旗舰店</x:v>
      </x:c>
      <x:c r="H14" s="17" t="str">
        <x:v>确认订单优惠后价格</x:v>
      </x:c>
    </x:row>
    <x:row r="15" ht="30" customHeight="1">
      <x:c r="A15" s="18" t="n">
        <x:v>12</x:v>
      </x:c>
      <x:c r="B15" s="17" t="str">
        <x:v>304不锈钢六角螺母</x:v>
      </x:c>
      <x:c r="C15" s="17" t="str">
        <x:v>M4/100个</x:v>
      </x:c>
      <x:c r="D15" s="46" t="n">
        <x:v>1</x:v>
      </x:c>
      <x:c r="E15" s="20" t="n">
        <x:v>3.18</x:v>
      </x:c>
      <x:c r="F15" s="20" t="n">
        <x:f>IF(D15="",E15,D15*E15)</x:f>
        <x:v>3.18</x:v>
      </x:c>
      <x:c r="G15" s="17" t="str">
        <x:v>楚卫旗舰店</x:v>
      </x:c>
      <x:c r="H15" s="17" t="str">
        <x:v>确认订单优惠后价格</x:v>
      </x:c>
    </x:row>
    <x:row r="16" ht="30" customHeight="1">
      <x:c r="A16" s="18" t="n">
        <x:v>13</x:v>
      </x:c>
      <x:c r="B16" s="17" t="str">
        <x:v>304不锈钢六角螺母</x:v>
      </x:c>
      <x:c r="C16" s="17" t="str">
        <x:v>M3/100个</x:v>
      </x:c>
      <x:c r="D16" s="46" t="n">
        <x:v>1</x:v>
      </x:c>
      <x:c r="E16" s="20" t="n">
        <x:v>2.09</x:v>
      </x:c>
      <x:c r="F16" s="20" t="n">
        <x:f>IF(D16="",E16,D16*E16)</x:f>
        <x:v>2.09</x:v>
      </x:c>
      <x:c r="G16" s="17" t="str">
        <x:v>楚卫旗舰店</x:v>
      </x:c>
      <x:c r="H16" s="17" t="str">
        <x:v>确认订单优惠后价格</x:v>
      </x:c>
    </x:row>
    <x:row r="17" ht="30" customHeight="1">
      <x:c r="A17" s="18" t="n">
        <x:v>14</x:v>
      </x:c>
      <x:c r="B17" s="17" t="str">
        <x:v>304内六角螺钉</x:v>
      </x:c>
      <x:c r="C17" s="17" t="str">
        <x:v>M3×12/100个</x:v>
      </x:c>
      <x:c r="D17" s="46" t="n">
        <x:v>1</x:v>
      </x:c>
      <x:c r="E17" s="20" t="n">
        <x:v>2.6</x:v>
      </x:c>
      <x:c r="F17" s="20" t="n">
        <x:f>IF(D17="",E17,D17*E17)</x:f>
        <x:v>2.6</x:v>
      </x:c>
      <x:c r="G17" s="17" t="str">
        <x:v>楚卫旗舰店</x:v>
      </x:c>
      <x:c r="H17" s="17" t="str">
        <x:v>确认订单优惠后价格</x:v>
      </x:c>
    </x:row>
    <x:row r="18" ht="30" customHeight="1">
      <x:c r="A18" s="18" t="n">
        <x:v>15</x:v>
      </x:c>
      <x:c r="B18" s="17" t="str">
        <x:v>304十字圆头螺钉</x:v>
      </x:c>
      <x:c r="C18" s="17" t="str">
        <x:v>M5×12/50个</x:v>
      </x:c>
      <x:c r="D18" s="46" t="n">
        <x:v>1</x:v>
      </x:c>
      <x:c r="E18" s="20" t="n">
        <x:v>4.78</x:v>
      </x:c>
      <x:c r="F18" s="20" t="n">
        <x:f>IF(D18="",E18,D18*E18)</x:f>
        <x:v>4.78</x:v>
      </x:c>
      <x:c r="G18" s="17" t="str">
        <x:v>佰瑞特官方旗舰店</x:v>
      </x:c>
      <x:c r="H18" s="17" t="str">
        <x:v>确认订单优惠后价格</x:v>
      </x:c>
    </x:row>
    <x:row r="19" ht="30" customHeight="1">
      <x:c r="A19" s="18" t="n">
        <x:v>16</x:v>
      </x:c>
      <x:c r="B19" s="17" t="str">
        <x:v>304十字圆头螺钉</x:v>
      </x:c>
      <x:c r="C19" s="17" t="str">
        <x:v>M4×12/50个</x:v>
      </x:c>
      <x:c r="D19" s="46" t="n">
        <x:v>1</x:v>
      </x:c>
      <x:c r="E19" s="20" t="n">
        <x:v>2.75</x:v>
      </x:c>
      <x:c r="F19" s="20" t="n">
        <x:f>IF(D19="",E19,D19*E19)</x:f>
        <x:v>2.75</x:v>
      </x:c>
      <x:c r="G19" s="17" t="str">
        <x:v>佰瑞特官方旗舰店</x:v>
      </x:c>
      <x:c r="H19" s="17" t="str">
        <x:v>确认订单优惠后价格</x:v>
      </x:c>
    </x:row>
    <x:row r="20" ht="30" customHeight="1">
      <x:c r="A20" s="18" t="n">
        <x:v>17</x:v>
      </x:c>
      <x:c r="B20" s="17" t="str">
        <x:v>304十字圆头螺钉</x:v>
      </x:c>
      <x:c r="C20" s="17" t="str">
        <x:v>M4×10/100个</x:v>
      </x:c>
      <x:c r="D20" s="46" t="n">
        <x:v>1</x:v>
      </x:c>
      <x:c r="E20" s="20" t="n">
        <x:v>4.95</x:v>
      </x:c>
      <x:c r="F20" s="20" t="n">
        <x:f>IF(D20="",E20,D20*E20)</x:f>
        <x:v>4.95</x:v>
      </x:c>
      <x:c r="G20" s="17" t="str">
        <x:v>佰瑞特官方旗舰店</x:v>
      </x:c>
      <x:c r="H20" s="17" t="str">
        <x:v>确认订单优惠后价格</x:v>
      </x:c>
    </x:row>
    <x:row r="21" ht="30" customHeight="1">
      <x:c r="A21" s="18" t="n">
        <x:v>18</x:v>
      </x:c>
      <x:c r="B21" s="17" t="str">
        <x:v>304十字圆头螺钉</x:v>
      </x:c>
      <x:c r="C21" s="17" t="str">
        <x:v>M3×10/100个</x:v>
      </x:c>
      <x:c r="D21" s="46" t="n">
        <x:v>1</x:v>
      </x:c>
      <x:c r="E21" s="20" t="n">
        <x:v>2.96</x:v>
      </x:c>
      <x:c r="F21" s="20" t="n">
        <x:f>IF(D21="",E21,D21*E21)</x:f>
        <x:v>2.96</x:v>
      </x:c>
      <x:c r="G21" s="17" t="str">
        <x:v>佰瑞特官方旗舰店</x:v>
      </x:c>
      <x:c r="H21" s="17" t="str">
        <x:v>确认订单优惠后价格</x:v>
      </x:c>
    </x:row>
    <x:row r="22" ht="30" customHeight="1">
      <x:c r="A22" s="18" t="n">
        <x:v>19</x:v>
      </x:c>
      <x:c r="B22" s="17" t="str">
        <x:v>304十字圆头螺钉</x:v>
      </x:c>
      <x:c r="C22" s="17" t="str">
        <x:v>M3×6/100个</x:v>
      </x:c>
      <x:c r="D22" s="46" t="n">
        <x:v>1</x:v>
      </x:c>
      <x:c r="E22" s="20" t="n">
        <x:v>2.34</x:v>
      </x:c>
      <x:c r="F22" s="20" t="n">
        <x:f>IF(D22="",E22,D22*E22)</x:f>
        <x:v>2.34</x:v>
      </x:c>
      <x:c r="G22" s="17" t="str">
        <x:v>佰瑞特官方旗舰店</x:v>
      </x:c>
      <x:c r="H22" s="17" t="str">
        <x:v>确认订单优惠后价格</x:v>
      </x:c>
    </x:row>
    <x:row r="23" ht="30" customHeight="1">
      <x:c r="A23" s="18" t="n">
        <x:v>20</x:v>
      </x:c>
      <x:c r="B23" s="17" t="str">
        <x:v>接线端子压线钳</x:v>
      </x:c>
      <x:c r="C23" s="17" t="str">
        <x:v>HSC8 6-4A/0.25-10mm²/四边形</x:v>
      </x:c>
      <x:c r="D23" s="46" t="n">
        <x:v>1</x:v>
      </x:c>
      <x:c r="E23" s="20" t="n">
        <x:v>16.9</x:v>
      </x:c>
      <x:c r="F23" s="20" t="n">
        <x:f>IF(D23="",E23,D23*E23)</x:f>
        <x:v>16.9</x:v>
      </x:c>
      <x:c r="G23" s="17" t="str">
        <x:v>德力西聚优品专卖店</x:v>
      </x:c>
      <x:c r="H23" s="17" t="str">
        <x:v>确认订单优惠后价格</x:v>
      </x:c>
    </x:row>
    <x:row r="24" ht="30" customHeight="1">
      <x:c r="A24" s="18" t="n">
        <x:v>21</x:v>
      </x:c>
      <x:c r="B24" s="17" t="str">
        <x:v>管型端子套装</x:v>
      </x:c>
      <x:c r="C24" s="17" t="str">
        <x:v>VE1508针形铜鼻子/8种规格/1200只</x:v>
      </x:c>
      <x:c r="D24" s="46" t="n">
        <x:v>1</x:v>
      </x:c>
      <x:c r="E24" s="20" t="n">
        <x:v>17.82</x:v>
      </x:c>
      <x:c r="F24" s="20" t="n">
        <x:f>IF(D24="",E24,D24*E24)</x:f>
        <x:v>17.82</x:v>
      </x:c>
      <x:c r="G24" s="17" t="str">
        <x:v>UTL尤提乐岚行专卖店</x:v>
      </x:c>
      <x:c r="H24" s="17" t="str">
        <x:v>确认订单优惠后价格</x:v>
      </x:c>
    </x:row>
    <x:row r="25" ht="30" customHeight="1">
      <x:c r="A25" s="18" t="n">
        <x:v>22</x:v>
      </x:c>
      <x:c r="B25" s="17" t="str">
        <x:v>迷你接线端子连接器</x:v>
      </x:c>
      <x:c r="C25" s="17" t="str">
        <x:v>H3802-15A-03/3位/白色</x:v>
      </x:c>
      <x:c r="D25" s="46" t="n">
        <x:v>5</x:v>
      </x:c>
      <x:c r="E25" s="20" t="n">
        <x:v>4.98</x:v>
      </x:c>
      <x:c r="F25" s="20" t="n">
        <x:f>IF(D25="",E25,D25*E25)</x:f>
        <x:v>24.900000000000002</x:v>
      </x:c>
      <x:c r="G25" s="17" t="str">
        <x:v>elinkerelectric旗舰店</x:v>
      </x:c>
      <x:c r="H25" s="17" t="str">
        <x:v>确认订单优惠后价格</x:v>
      </x:c>
    </x:row>
    <x:row r="26" ht="28" customHeight="1">
      <x:c r="A26" s="25" t="str">
        <x:v>本日合计</x:v>
      </x:c>
      <x:c r="B26" s="25"/>
      <x:c r="C26" s="25"/>
      <x:c r="D26" s="27" t="n">
        <x:f>SUM(D4:D25)</x:f>
        <x:v>26</x:v>
      </x:c>
      <x:c r="E26" s="24"/>
      <x:c r="F26" s="29" t="n">
        <x:f>SUM(F4:F25)</x:f>
        <x:v>175.8</x:v>
      </x:c>
      <x:c r="G26" s="24"/>
      <x:c r="H26" s="24"/>
    </x:row>
  </x:sheetData>
  <x:mergeCells>
    <x:mergeCell ref="A1:H1"/>
    <x:mergeCell ref="A2:H2"/>
    <x:mergeCell ref="A26:C2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5" hidden="0" customWidth="1"/>
    <x:col min="4" max="4" width="19" hidden="0" customWidth="1"/>
    <x:col min="5" max="5" width="30" hidden="0" customWidth="1"/>
  </x:cols>
  <x:sheetData>
    <x:row r="1" ht="36" customHeight="1">
      <x:c r="A1" s="4" t="str">
        <x:v>采购总计</x:v>
      </x:c>
      <x:c r="B1" s="4"/>
      <x:c r="C1" s="4"/>
      <x:c r="D1" s="4"/>
      <x:c r="E1" s="4"/>
    </x:row>
    <x:row r="2" ht="23" customHeight="1">
      <x:c r="A2" s="30" t="str">
        <x:v>按采购日期汇总；各项数据自动引用对应日期分表</x:v>
      </x:c>
      <x:c r="B2" s="30"/>
      <x:c r="C2" s="30"/>
      <x:c r="D2" s="30"/>
      <x:c r="E2" s="30"/>
    </x:row>
    <x:row r="4" ht="27" customHeight="1">
      <x:c r="A4" s="31" t="str">
        <x:v>采购日期</x:v>
      </x:c>
      <x:c r="B4" s="31" t="str">
        <x:v>品类数</x:v>
      </x:c>
      <x:c r="C4" s="31" t="str">
        <x:v>商品数量</x:v>
      </x:c>
      <x:c r="D4" s="31" t="str">
        <x:v>采购金额（元）</x:v>
      </x:c>
      <x:c r="E4" s="31" t="str">
        <x:v>备注</x:v>
      </x:c>
    </x:row>
    <x:row r="5" ht="28" customHeight="1">
      <x:c r="A5" s="35" t="n">
        <x:v>46216</x:v>
      </x:c>
      <x:c r="B5" s="36" t="n">
        <x:v>13</x:v>
      </x:c>
      <x:c r="C5" s="36" t="n">
        <x:f>'2026-07-13'!D18</x:f>
        <x:v>16</x:v>
      </x:c>
      <x:c r="D5" s="38" t="n">
        <x:f>'2026-07-13'!F18</x:f>
        <x:v>3095.11</x:v>
      </x:c>
      <x:c r="E5" s="33" t="str">
        <x:v>详见 2026-07-13 分表</x:v>
      </x:c>
    </x:row>
    <x:row r="6" ht="28" customHeight="1">
      <x:c r="A6" s="35" t="n">
        <x:v>46224</x:v>
      </x:c>
      <x:c r="B6" s="36" t="n">
        <x:v>1</x:v>
      </x:c>
      <x:c r="C6" s="36" t="n">
        <x:f>'2026-07-21'!D5</x:f>
        <x:v>1</x:v>
      </x:c>
      <x:c r="D6" s="38" t="n">
        <x:f>'2026-07-21'!F5</x:f>
        <x:v>27.7</x:v>
      </x:c>
      <x:c r="E6" s="33" t="str">
        <x:v>详见 2026-07-21 分表</x:v>
      </x:c>
    </x:row>
    <x:row r="7" ht="28" customHeight="1">
      <x:c r="A7" s="35" t="n">
        <x:v>46225</x:v>
      </x:c>
      <x:c r="B7" s="36" t="n">
        <x:v>22</x:v>
      </x:c>
      <x:c r="C7" s="36" t="n">
        <x:f>'2026-07-22'!D26</x:f>
        <x:v>26</x:v>
      </x:c>
      <x:c r="D7" s="38" t="n">
        <x:f>'2026-07-22'!F26</x:f>
        <x:v>175.8</x:v>
      </x:c>
      <x:c r="E7" s="33" t="str">
        <x:v>详见 2026-07-22 分表</x:v>
      </x:c>
    </x:row>
    <x:row r="8" ht="28" customHeight="1">
      <x:c r="A8" s="78" t="n">
        <x:v>46227</x:v>
      </x:c>
      <x:c r="B8" s="75" t="n">
        <x:v>2</x:v>
      </x:c>
      <x:c r="C8" s="75" t="n">
        <x:f>'2026-07-24'!D6</x:f>
        <x:v>2</x:v>
      </x:c>
      <x:c r="D8" s="76" t="n">
        <x:f>'2026-07-24'!F6</x:f>
        <x:v>50.5</x:v>
      </x:c>
      <x:c r="E8" s="77" t="str">
        <x:v>详见 2026-07-24 分表</x:v>
      </x:c>
    </x:row>
    <x:row r="9" ht="28" customHeight="1">
      <x:c r="A9" s="117" t="n">
        <x:v>46231</x:v>
      </x:c>
      <x:c r="B9" s="114" t="n">
        <x:f>COUNTA('2026-07-28'!B5:B8)</x:f>
        <x:v>4</x:v>
      </x:c>
      <x:c r="C9" s="114" t="n">
        <x:f>'2026-07-28'!D9</x:f>
        <x:v>4</x:v>
      </x:c>
      <x:c r="D9" s="115" t="n">
        <x:f>'2026-07-28'!F9</x:f>
        <x:v>101.67999999999999</x:v>
      </x:c>
      <x:c r="E9" s="116" t="str">
        <x:v>详见 2026-07-28 分表</x:v>
      </x:c>
    </x:row>
    <x:row r="10" ht="30" customHeight="1">
      <x:c r="A10" s="220" t="n">
        <x:v>46232</x:v>
      </x:c>
      <x:c r="B10" s="221" t="n">
        <x:f>COUNTA('2026-07-29'!B4:B6)</x:f>
        <x:v>3</x:v>
      </x:c>
      <x:c r="C10" s="221" t="n">
        <x:f>'2026-07-29'!D7</x:f>
        <x:v>3</x:v>
      </x:c>
      <x:c r="D10" s="216" t="n">
        <x:f>'2026-07-29'!F7</x:f>
        <x:v>340</x:v>
      </x:c>
      <x:c r="E10" s="219" t="str">
        <x:v>详见 2026-07-29 分表</x:v>
      </x:c>
    </x:row>
    <x:row r="11" ht="30" customHeight="1">
      <x:c r="A11" s="276" t="n">
        <x:v>46237</x:v>
      </x:c>
      <x:c r="B11" s="273" t="n">
        <x:f>COUNTA('2026-08-03'!B4:B6)</x:f>
        <x:v>3</x:v>
      </x:c>
      <x:c r="C11" s="273" t="n">
        <x:f>'2026-08-03'!D7</x:f>
        <x:v>3</x:v>
      </x:c>
      <x:c r="D11" s="274" t="n">
        <x:f>'2026-08-03'!F7</x:f>
        <x:v>11.959999999999999</x:v>
      </x:c>
      <x:c r="E11" s="275" t="str">
        <x:v>详见 2026-08-03 分表</x:v>
      </x:c>
    </x:row>
    <x:row r="12" ht="30" customHeight="1">
      <x:c r="A12" s="361" t="n">
        <x:v>46241</x:v>
      </x:c>
      <x:c r="B12" s="362" t="n">
        <x:f>COUNTA('2026-08-07'!B4:B9)</x:f>
        <x:v>6</x:v>
      </x:c>
      <x:c r="C12" s="362" t="n">
        <x:f>'2026-08-07'!D11</x:f>
        <x:v>7</x:v>
      </x:c>
      <x:c r="D12" s="363" t="n">
        <x:f>'2026-08-07'!F11</x:f>
        <x:v>369.58</x:v>
      </x:c>
      <x:c r="E12" s="364" t="str">
        <x:v>详见 2026-08-07 分表</x:v>
      </x:c>
    </x:row>
    <x:row r="13" ht="28" customHeight="1">
      <x:c r="A13" s="423" t="n">
        <x:v>46244</x:v>
      </x:c>
      <x:c r="B13" s="424" t="n">
        <x:v>1</x:v>
      </x:c>
      <x:c r="C13" s="424" t="n">
        <x:v>1</x:v>
      </x:c>
      <x:c r="D13" s="425" t="n">
        <x:v>4.98</x:v>
      </x:c>
      <x:c r="E13" s="426" t="str">
        <x:v>详见 2026-08-10 分表</x:v>
      </x:c>
    </x:row>
    <x:row r="14" ht="28" customHeight="1">
      <x:c r="A14" s="474" t="n">
        <x:v>46248</x:v>
      </x:c>
      <x:c r="B14" s="471" t="n">
        <x:f>COUNTA('2026-08-14'!B4:B5)</x:f>
        <x:v>2</x:v>
      </x:c>
      <x:c r="C14" s="471" t="n">
        <x:f>SUM('2026-08-14'!D4:D5)</x:f>
        <x:v>11</x:v>
      </x:c>
      <x:c r="D14" s="472" t="n">
        <x:f>'2026-08-14'!F7</x:f>
        <x:v>25.5</x:v>
      </x:c>
      <x:c r="E14" s="475" t="str">
        <x:v>详见 2026-08-14 分表</x:v>
      </x:c>
    </x:row>
    <x:row r="15" ht="30" customHeight="1">
      <x:c r="A15" s="480" t="str">
        <x:v>总计</x:v>
      </x:c>
      <x:c r="B15" s="483" t="n">
        <x:f>SUM(B5:B14)</x:f>
        <x:v>57</x:v>
      </x:c>
      <x:c r="C15" s="483" t="n">
        <x:f>SUM(C5:C14)</x:f>
        <x:v>74</x:v>
      </x:c>
      <x:c r="D15" s="484" t="n">
        <x:f>SUM(D5:D14)</x:f>
        <x:v>4202.8099999999995</x:v>
      </x:c>
      <x:c r="E15" s="482" t="str">
        <x:v>全部采购记录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50" t="str">
        <x:v>2026-07-24 采购清单</x:v>
      </x:c>
      <x:c r="B1" s="50"/>
      <x:c r="C1" s="50"/>
      <x:c r="D1" s="50"/>
      <x:c r="E1" s="50"/>
      <x:c r="F1" s="50"/>
      <x:c r="G1" s="50"/>
      <x:c r="H1" s="50"/>
    </x:row>
    <x:row r="2" ht="22" customHeight="1">
      <x:c r="A2" s="53" t="str">
        <x:v>采购日期：2026-07-24</x:v>
      </x:c>
      <x:c r="B2" s="53"/>
      <x:c r="C2" s="53"/>
      <x:c r="D2" s="53"/>
      <x:c r="E2" s="53"/>
      <x:c r="F2" s="53"/>
      <x:c r="G2" s="53"/>
      <x:c r="H2" s="53"/>
    </x:row>
    <x:row r="3" ht="26" customHeight="1">
      <x:c r="A3" s="59" t="str">
        <x:v>序号</x:v>
      </x:c>
      <x:c r="B3" s="59" t="str">
        <x:v>商品名称</x:v>
      </x:c>
      <x:c r="C3" s="59" t="str">
        <x:v>规格/型号</x:v>
      </x:c>
      <x:c r="D3" s="59" t="str">
        <x:v>数量</x:v>
      </x:c>
      <x:c r="E3" s="59" t="str">
        <x:v>单价（元）</x:v>
      </x:c>
      <x:c r="F3" s="59" t="str">
        <x:v>金额（元）</x:v>
      </x:c>
      <x:c r="G3" s="59" t="str">
        <x:v>店铺</x:v>
      </x:c>
      <x:c r="H3" s="59" t="str">
        <x:v>备注</x:v>
      </x:c>
    </x:row>
    <x:row r="4" ht="36" customHeight="1">
      <x:c r="A4" s="18" t="n">
        <x:v>1</x:v>
      </x:c>
      <x:c r="B4" s="17" t="str">
        <x:v>12V锂电池充电器</x:v>
      </x:c>
      <x:c r="C4" s="17" t="str">
        <x:v>12-12.6V/1A-2A/5.5mm圆孔/线长1米</x:v>
      </x:c>
      <x:c r="D4" s="18" t="n">
        <x:v>1</x:v>
      </x:c>
      <x:c r="E4" s="20" t="n">
        <x:v>12.5</x:v>
      </x:c>
      <x:c r="F4" s="20" t="n">
        <x:f>D4*E4</x:f>
        <x:v>12.5</x:v>
      </x:c>
      <x:c r="G4" s="17" t="str">
        <x:v>浩可充电器实力工厂</x:v>
      </x:c>
      <x:c r="H4" s="17" t="str">
        <x:v>确认订单优惠后价格</x:v>
      </x:c>
    </x:row>
    <x:row r="5" ht="36" customHeight="1">
      <x:c r="A5" s="18" t="n">
        <x:v>2</x:v>
      </x:c>
      <x:c r="B5" s="17" t="str">
        <x:v>公牛六位总控插座</x:v>
      </x:c>
      <x:c r="C5" s="17" t="str">
        <x:v>B9330/全长1.8米</x:v>
      </x:c>
      <x:c r="D5" s="18" t="n">
        <x:v>1</x:v>
      </x:c>
      <x:c r="E5" s="20" t="n">
        <x:v>38</x:v>
      </x:c>
      <x:c r="F5" s="20" t="n">
        <x:f>D5*E5</x:f>
        <x:v>38</x:v>
      </x:c>
      <x:c r="G5" s="17" t="str">
        <x:v>公牛多德专卖店</x:v>
      </x:c>
      <x:c r="H5" s="17" t="str">
        <x:v>确认订单补贴后价格</x:v>
      </x:c>
    </x:row>
    <x:row r="6" ht="28" customHeight="1">
      <x:c r="A6" s="64" t="str">
        <x:v>本日合计</x:v>
      </x:c>
      <x:c r="B6" s="64"/>
      <x:c r="C6" s="64"/>
      <x:c r="D6" s="66" t="n">
        <x:f>SUM(D4:D5)</x:f>
        <x:v>2</x:v>
      </x:c>
      <x:c r="E6" s="63"/>
      <x:c r="F6" s="68" t="n">
        <x:f>SUM(F4:F5)</x:f>
        <x:v>50.5</x:v>
      </x:c>
      <x:c r="G6" s="63"/>
      <x:c r="H6" s="63"/>
    </x:row>
  </x:sheetData>
  <x:mergeCells>
    <x:mergeCell ref="A1:H1"/>
    <x:mergeCell ref="A2:H2"/>
    <x:mergeCell ref="A6:C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9" hidden="0" customWidth="1"/>
    <x:col min="4" max="4" width="10" hidden="0" customWidth="1"/>
    <x:col min="5" max="5" width="13" hidden="0" customWidth="1"/>
    <x:col min="6" max="6" width="14" hidden="0" customWidth="1"/>
    <x:col min="7" max="7" width="25" hidden="0" customWidth="1"/>
    <x:col min="8" max="8" width="48" hidden="0" customWidth="1"/>
  </x:cols>
  <x:sheetData>
    <x:row r="1" ht="32" customHeight="1">
      <x:c r="A1" s="89" t="str">
        <x:v>2026-07-28 采购清单</x:v>
      </x:c>
      <x:c r="B1" s="89"/>
      <x:c r="C1" s="89"/>
      <x:c r="D1" s="89"/>
      <x:c r="E1" s="89"/>
      <x:c r="F1" s="89"/>
      <x:c r="G1" s="89"/>
      <x:c r="H1" s="89"/>
    </x:row>
    <x:row r="2" ht="22" customHeight="1">
      <x:c r="A2" s="92" t="str">
        <x:v>采购日期：2026-07-28</x:v>
      </x:c>
      <x:c r="B2" s="92"/>
      <x:c r="C2" s="92"/>
      <x:c r="D2" s="92"/>
      <x:c r="E2" s="92"/>
      <x:c r="F2" s="92"/>
      <x:c r="G2" s="92"/>
      <x:c r="H2" s="92"/>
    </x:row>
    <x:row r="3" ht="26" customHeight="1">
      <x:c r="A3" s="98" t="str">
        <x:v>序号</x:v>
      </x:c>
      <x:c r="B3" s="98" t="str">
        <x:v>商品名称</x:v>
      </x:c>
      <x:c r="C3" s="98" t="str">
        <x:v>规格/型号</x:v>
      </x:c>
      <x:c r="D3" s="98" t="str">
        <x:v>数量</x:v>
      </x:c>
      <x:c r="E3" s="98" t="str">
        <x:v>单价（元）</x:v>
      </x:c>
      <x:c r="F3" s="98" t="str">
        <x:v>金额（元）</x:v>
      </x:c>
      <x:c r="G3" s="98" t="str">
        <x:v>店铺</x:v>
      </x:c>
      <x:c r="H3" s="98" t="str">
        <x:v>备注</x:v>
      </x:c>
    </x:row>
    <x:row r="4" ht="32" customHeight="1">
      <x:c r="A4" s="18" t="n">
        <x:v>1</x:v>
      </x:c>
      <x:c r="B4" s="17" t="str">
        <x:v>顺丰快递费</x:v>
      </x:c>
      <x:c r="C4" s="17" t="str"/>
      <x:c r="D4" s="46"/>
      <x:c r="E4" s="20" t="n">
        <x:v>27</x:v>
      </x:c>
      <x:c r="F4" s="20" t="n">
        <x:f>IF(D4="",E4,D4*E4)</x:f>
        <x:v>27</x:v>
      </x:c>
      <x:c r="G4" s="17" t="str">
        <x:v>顺丰</x:v>
      </x:c>
      <x:c r="H4" s="17" t="str">
        <x:v>今日快递费</x:v>
      </x:c>
    </x:row>
    <x:row r="5" ht="42" customHeight="1">
      <x:c r="A5" s="158" t="n">
        <x:v>2</x:v>
      </x:c>
      <x:c r="B5" s="159" t="str">
        <x:v>单头六角铜柱</x:v>
      </x:c>
      <x:c r="C5" s="159" t="str">
        <x:v>M3*24+6（20支）</x:v>
      </x:c>
      <x:c r="D5" s="171" t="n">
        <x:v>1</x:v>
      </x:c>
      <x:c r="E5" s="173" t="n">
        <x:v>8.01</x:v>
      </x:c>
      <x:c r="F5" s="173" t="n">
        <x:f>D5*E5</x:f>
        <x:v>8.01</x:v>
      </x:c>
      <x:c r="G5" s="159" t="str">
        <x:v>固万基官方旗舰店</x:v>
      </x:c>
      <x:c r="H5" s="159" t="str">
        <x:v>优惠后价；先用后付</x:v>
      </x:c>
    </x:row>
    <x:row r="6" ht="42" customHeight="1">
      <x:c r="A6" s="158" t="n">
        <x:v>3</x:v>
      </x:c>
      <x:c r="B6" s="159" t="str">
        <x:v>单头六角铜柱</x:v>
      </x:c>
      <x:c r="C6" s="159" t="str">
        <x:v>M3*37+6（20支）</x:v>
      </x:c>
      <x:c r="D6" s="171" t="n">
        <x:v>1</x:v>
      </x:c>
      <x:c r="E6" s="173" t="n">
        <x:v>14.4</x:v>
      </x:c>
      <x:c r="F6" s="173" t="n">
        <x:f>D6*E6</x:f>
        <x:v>14.4</x:v>
      </x:c>
      <x:c r="G6" s="159" t="str">
        <x:v>固万基官方旗舰店</x:v>
      </x:c>
      <x:c r="H6" s="159" t="str">
        <x:v>优惠后价；先用后付</x:v>
      </x:c>
    </x:row>
    <x:row r="7" ht="42" customHeight="1">
      <x:c r="A7" s="158" t="n">
        <x:v>4</x:v>
      </x:c>
      <x:c r="B7" s="159" t="str">
        <x:v>钳子三件套</x:v>
      </x:c>
      <x:c r="C7" s="159" t="str">
        <x:v>8寸工业级套装（老虎钳+斜嘴钳+尖嘴钳）</x:v>
      </x:c>
      <x:c r="D7" s="171" t="n">
        <x:v>1</x:v>
      </x:c>
      <x:c r="E7" s="173" t="n">
        <x:v>26.27</x:v>
      </x:c>
      <x:c r="F7" s="173" t="n">
        <x:f>D7*E7</x:f>
        <x:v>26.27</x:v>
      </x:c>
      <x:c r="G7" s="159" t="str">
        <x:v>天天特卖工厂</x:v>
      </x:c>
      <x:c r="H7" s="159" t="str">
        <x:v>补贴后价；先用后付</x:v>
      </x:c>
    </x:row>
    <x:row r="8" ht="42" customHeight="1">
      <x:c r="A8" s="158" t="n">
        <x:v>5</x:v>
      </x:c>
      <x:c r="B8" s="159" t="str">
        <x:v>XT60公母插头</x:v>
      </x:c>
      <x:c r="C8" s="159" t="str">
        <x:v>XT60公头12AWG，3.4平方，30厘米，5条</x:v>
      </x:c>
      <x:c r="D8" s="171" t="n">
        <x:v>1</x:v>
      </x:c>
      <x:c r="E8" s="173" t="n">
        <x:v>26</x:v>
      </x:c>
      <x:c r="F8" s="173" t="n">
        <x:f>D8*E8</x:f>
        <x:v>26</x:v>
      </x:c>
      <x:c r="G8" s="159" t="str">
        <x:v>创未良品电子科技有限公司</x:v>
      </x:c>
      <x:c r="H8" s="159" t="str">
        <x:v>优惠后价；先用后付</x:v>
      </x:c>
    </x:row>
    <x:row r="9" ht="30" customHeight="1">
      <x:c r="A9" s="168" t="str">
        <x:v>本日合计</x:v>
      </x:c>
      <x:c r="B9" s="168"/>
      <x:c r="C9" s="168"/>
      <x:c r="D9" s="172" t="n">
        <x:f>SUM(D4:D8)</x:f>
        <x:v>4</x:v>
      </x:c>
      <x:c r="E9" s="174"/>
      <x:c r="F9" s="175" t="n">
        <x:f>SUM(F4:F8)</x:f>
        <x:v>101.67999999999999</x:v>
      </x:c>
      <x:c r="G9" s="166"/>
      <x:c r="H9" s="166"/>
    </x:row>
  </x:sheetData>
  <x:mergeCells>
    <x:mergeCell ref="A1:H1"/>
    <x:mergeCell ref="A2:H2"/>
    <x:mergeCell ref="A9:C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36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179" t="str">
        <x:v>2026-07-29 采购清单</x:v>
      </x:c>
      <x:c r="B1" s="179"/>
      <x:c r="C1" s="179"/>
      <x:c r="D1" s="179"/>
      <x:c r="E1" s="179"/>
      <x:c r="F1" s="179"/>
      <x:c r="G1" s="179"/>
      <x:c r="H1" s="179"/>
    </x:row>
    <x:row r="2" ht="22" customHeight="1">
      <x:c r="A2" s="183" t="str">
        <x:v>采购日期：2026-07-29</x:v>
      </x:c>
      <x:c r="B2" s="183"/>
      <x:c r="C2" s="183"/>
      <x:c r="D2" s="183"/>
      <x:c r="E2" s="183"/>
      <x:c r="F2" s="183"/>
      <x:c r="G2" s="183"/>
      <x:c r="H2" s="183"/>
    </x:row>
    <x:row r="3" ht="26" customHeight="1">
      <x:c r="A3" s="189" t="str">
        <x:v>序号</x:v>
      </x:c>
      <x:c r="B3" s="189" t="str">
        <x:v>商品名称</x:v>
      </x:c>
      <x:c r="C3" s="189" t="str">
        <x:v>规格/型号</x:v>
      </x:c>
      <x:c r="D3" s="189" t="str">
        <x:v>数量</x:v>
      </x:c>
      <x:c r="E3" s="189" t="str">
        <x:v>单价（元）</x:v>
      </x:c>
      <x:c r="F3" s="189" t="str">
        <x:v>金额（元）</x:v>
      </x:c>
      <x:c r="G3" s="189" t="str">
        <x:v>店铺</x:v>
      </x:c>
      <x:c r="H3" s="189" t="str">
        <x:v>备注</x:v>
      </x:c>
    </x:row>
    <x:row r="4" ht="52" customHeight="1">
      <x:c r="A4" s="195" t="n">
        <x:v>1</x:v>
      </x:c>
      <x:c r="B4" s="197" t="str">
        <x:v>DC-DC降压模块</x:v>
      </x:c>
      <x:c r="C4" s="197" t="str">
        <x:v>QS-1205CBUM-10A / DC-DC 5V 10A</x:v>
      </x:c>
      <x:c r="D4" s="204" t="n">
        <x:v>1</x:v>
      </x:c>
      <x:c r="E4" s="206" t="n">
        <x:v>17.6</x:v>
      </x:c>
      <x:c r="F4" s="206" t="n">
        <x:f>D4*E4</x:f>
        <x:v>17.6</x:v>
      </x:c>
      <x:c r="G4" s="197" t="str">
        <x:v>深圳市优信电子科技有限公司</x:v>
      </x:c>
      <x:c r="H4" s="197" t="str">
        <x:v>实付款17.60元</x:v>
      </x:c>
    </x:row>
    <x:row r="5" ht="52" customHeight="1">
      <x:c r="A5" s="195" t="n">
        <x:v>2</x:v>
      </x:c>
      <x:c r="B5" s="197" t="str">
        <x:v>水下机器人ROV探照灯</x:v>
      </x:c>
      <x:c r="C5" s="197" t="str">
        <x:v>Ardusub脉宽控制 / 光束角100° / 2500流明 / 8-30V宽压 / PWM驱动</x:v>
      </x:c>
      <x:c r="D5" s="204" t="n">
        <x:v>1</x:v>
      </x:c>
      <x:c r="E5" s="206" t="n">
        <x:v>306</x:v>
      </x:c>
      <x:c r="F5" s="206" t="n">
        <x:f>D5*E5</x:f>
        <x:v>306</x:v>
      </x:c>
      <x:c r="G5" s="197" t="str">
        <x:v>EXOCEAN拓洲智能</x:v>
      </x:c>
      <x:c r="H5" s="197" t="str">
        <x:v>商品标价294元；实付款306元（含运费12元）</x:v>
      </x:c>
    </x:row>
    <x:row r="6" ht="52" customHeight="1">
      <x:c r="A6" s="195" t="n">
        <x:v>3</x:v>
      </x:c>
      <x:c r="B6" s="197" t="str">
        <x:v>USB转RS232/TTL通讯模块</x:v>
      </x:c>
      <x:c r="C6" s="197" t="str">
        <x:v>Y804（USB转TTL）/ 通讯电平5V</x:v>
      </x:c>
      <x:c r="D6" s="204" t="n">
        <x:v>1</x:v>
      </x:c>
      <x:c r="E6" s="206" t="n">
        <x:v>16.4</x:v>
      </x:c>
      <x:c r="F6" s="206" t="n">
        <x:f>D6*E6</x:f>
        <x:v>16.4</x:v>
      </x:c>
      <x:c r="G6" s="197" t="str">
        <x:v>雨伽量旗舰店</x:v>
      </x:c>
      <x:c r="H6" s="197" t="str">
        <x:v>实付款16.40元</x:v>
      </x:c>
    </x:row>
    <x:row r="7" ht="30" customHeight="1">
      <x:c r="A7" s="202" t="str">
        <x:v>本日合计</x:v>
      </x:c>
      <x:c r="B7" s="202"/>
      <x:c r="C7" s="202"/>
      <x:c r="D7" s="205" t="n">
        <x:f>SUM(D4:D6)</x:f>
        <x:v>3</x:v>
      </x:c>
      <x:c r="E7" s="207"/>
      <x:c r="F7" s="208" t="n">
        <x:f>SUM(F4:F6)</x:f>
        <x:v>340</x:v>
      </x:c>
      <x:c r="G7" s="201"/>
      <x:c r="H7" s="201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32" hidden="0" customWidth="1"/>
    <x:col min="4" max="4" width="11" hidden="0" customWidth="1"/>
    <x:col min="5" max="5" width="14" hidden="0" customWidth="1"/>
    <x:col min="6" max="6" width="15" hidden="0" customWidth="1"/>
    <x:col min="7" max="7" width="27" hidden="0" customWidth="1"/>
    <x:col min="8" max="8" width="48" hidden="0" customWidth="1"/>
  </x:cols>
  <x:sheetData>
    <x:row r="1" ht="30" customHeight="1">
      <x:c r="A1" s="234" t="str">
        <x:v>2026-08-03 采购清单</x:v>
      </x:c>
      <x:c r="B1" s="234"/>
      <x:c r="C1" s="234"/>
      <x:c r="D1" s="234"/>
      <x:c r="E1" s="234"/>
      <x:c r="F1" s="234"/>
      <x:c r="G1" s="234"/>
      <x:c r="H1" s="234"/>
    </x:row>
    <x:row r="2" ht="22" customHeight="1">
      <x:c r="A2" s="238" t="str">
        <x:v>采购日期：2026-08-03</x:v>
      </x:c>
      <x:c r="B2" s="238"/>
      <x:c r="C2" s="238"/>
      <x:c r="D2" s="238"/>
      <x:c r="E2" s="238"/>
      <x:c r="F2" s="238"/>
      <x:c r="G2" s="238"/>
      <x:c r="H2" s="238"/>
    </x:row>
    <x:row r="3" ht="26" customHeight="1">
      <x:c r="A3" s="244" t="str">
        <x:v>序号</x:v>
      </x:c>
      <x:c r="B3" s="244" t="str">
        <x:v>商品名称</x:v>
      </x:c>
      <x:c r="C3" s="244" t="str">
        <x:v>规格/型号</x:v>
      </x:c>
      <x:c r="D3" s="244" t="str">
        <x:v>数量</x:v>
      </x:c>
      <x:c r="E3" s="244" t="str">
        <x:v>单价（元）</x:v>
      </x:c>
      <x:c r="F3" s="244" t="str">
        <x:v>金额（元）</x:v>
      </x:c>
      <x:c r="G3" s="244" t="str">
        <x:v>店铺</x:v>
      </x:c>
      <x:c r="H3" s="244" t="str">
        <x:v>备注</x:v>
      </x:c>
    </x:row>
    <x:row r="4" ht="48" customHeight="1">
      <x:c r="A4" s="250" t="n">
        <x:v>1</x:v>
      </x:c>
      <x:c r="B4" s="252" t="str">
        <x:v>304不锈钢十字圆头机牙螺钉</x:v>
      </x:c>
      <x:c r="C4" s="252" t="str">
        <x:v>M3*22 / 100个</x:v>
      </x:c>
      <x:c r="D4" s="259" t="n">
        <x:v>1</x:v>
      </x:c>
      <x:c r="E4" s="261" t="n">
        <x:v>5.15</x:v>
      </x:c>
      <x:c r="F4" s="261" t="n">
        <x:f>D4*E4</x:f>
        <x:v>5.15</x:v>
      </x:c>
      <x:c r="G4" s="252" t="str">
        <x:v>佰瑞特官方旗舰店</x:v>
      </x:c>
      <x:c r="H4" s="252" t="str">
        <x:v>先用后付；确认收货后应付5.15元</x:v>
      </x:c>
    </x:row>
    <x:row r="5" ht="48" customHeight="1">
      <x:c r="A5" s="250" t="n">
        <x:v>2</x:v>
      </x:c>
      <x:c r="B5" s="252" t="str">
        <x:v>304不锈钢十字圆头机牙螺钉</x:v>
      </x:c>
      <x:c r="C5" s="252" t="str">
        <x:v>M3*20 / 100个</x:v>
      </x:c>
      <x:c r="D5" s="259" t="n">
        <x:v>1</x:v>
      </x:c>
      <x:c r="E5" s="261" t="n">
        <x:v>4.87</x:v>
      </x:c>
      <x:c r="F5" s="261" t="n">
        <x:f>D5*E5</x:f>
        <x:v>4.87</x:v>
      </x:c>
      <x:c r="G5" s="252" t="str">
        <x:v>佰瑞特官方旗舰店</x:v>
      </x:c>
      <x:c r="H5" s="252" t="str">
        <x:v>先用后付；确认收货后应付4.87元</x:v>
      </x:c>
    </x:row>
    <x:row r="6" ht="48" customHeight="1">
      <x:c r="A6" s="250" t="n">
        <x:v>3</x:v>
      </x:c>
      <x:c r="B6" s="252" t="str">
        <x:v>304不锈钢防松锁紧螺母</x:v>
      </x:c>
      <x:c r="C6" s="252" t="str">
        <x:v>M3 / 304材质 / 40个</x:v>
      </x:c>
      <x:c r="D6" s="259" t="n">
        <x:v>1</x:v>
      </x:c>
      <x:c r="E6" s="261" t="n">
        <x:v>1.94</x:v>
      </x:c>
      <x:c r="F6" s="261" t="n">
        <x:f>D6*E6</x:f>
        <x:v>1.94</x:v>
      </x:c>
      <x:c r="G6" s="252" t="str">
        <x:v>固万基五金科技</x:v>
      </x:c>
      <x:c r="H6" s="252" t="str">
        <x:v>先用后付；确认收货后应付1.94元</x:v>
      </x:c>
    </x:row>
    <x:row r="7" ht="30" customHeight="1">
      <x:c r="A7" s="257" t="str">
        <x:v>本日合计</x:v>
      </x:c>
      <x:c r="B7" s="257"/>
      <x:c r="C7" s="257"/>
      <x:c r="D7" s="260" t="n">
        <x:f>SUM(D4:D6)</x:f>
        <x:v>3</x:v>
      </x:c>
      <x:c r="E7" s="262"/>
      <x:c r="F7" s="263" t="n">
        <x:f>SUM(F4:F6)</x:f>
        <x:v>11.959999999999999</x:v>
      </x:c>
      <x:c r="G7" s="256"/>
      <x:c r="H7" s="256"/>
    </x:row>
  </x:sheetData>
  <x:mergeCells>
    <x:mergeCell ref="A1:H1"/>
    <x:mergeCell ref="A2:H2"/>
    <x:mergeCell ref="A7:C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4" hidden="0" customWidth="1"/>
    <x:col min="4" max="4" width="11" hidden="0" customWidth="1"/>
    <x:col min="5" max="5" width="14" hidden="0" customWidth="1"/>
    <x:col min="6" max="6" width="15" hidden="0" customWidth="1"/>
    <x:col min="7" max="7" width="30" hidden="0" customWidth="1"/>
    <x:col min="8" max="8" width="48" hidden="0" customWidth="1"/>
  </x:cols>
  <x:sheetData>
    <x:row r="1" ht="30" customHeight="1">
      <x:c r="A1" s="341" t="str">
        <x:v>2026-08-07 采购清单</x:v>
      </x:c>
      <x:c r="B1" s="341"/>
      <x:c r="C1" s="341"/>
      <x:c r="D1" s="341"/>
      <x:c r="E1" s="341"/>
      <x:c r="F1" s="341"/>
      <x:c r="G1" s="341"/>
      <x:c r="H1" s="341"/>
    </x:row>
    <x:row r="2" ht="22" customHeight="1">
      <x:c r="A2" s="342" t="str">
        <x:v>采购日期：2026-08-07</x:v>
      </x:c>
      <x:c r="B2" s="342"/>
      <x:c r="C2" s="342"/>
      <x:c r="D2" s="342"/>
      <x:c r="E2" s="342"/>
      <x:c r="F2" s="342"/>
      <x:c r="G2" s="342"/>
      <x:c r="H2" s="342"/>
    </x:row>
    <x:row r="3" ht="26" customHeight="1">
      <x:c r="A3" s="343" t="str">
        <x:v>序号</x:v>
      </x:c>
      <x:c r="B3" s="343" t="str">
        <x:v>商品名称</x:v>
      </x:c>
      <x:c r="C3" s="343" t="str">
        <x:v>规格/型号</x:v>
      </x:c>
      <x:c r="D3" s="343" t="str">
        <x:v>数量</x:v>
      </x:c>
      <x:c r="E3" s="343" t="str">
        <x:v>单价（元）</x:v>
      </x:c>
      <x:c r="F3" s="343" t="str">
        <x:v>金额（元）</x:v>
      </x:c>
      <x:c r="G3" s="343" t="str">
        <x:v>店铺</x:v>
      </x:c>
      <x:c r="H3" s="343" t="str">
        <x:v>备注</x:v>
      </x:c>
    </x:row>
    <x:row r="4" ht="48" customHeight="1">
      <x:c r="A4" s="348" t="n">
        <x:v>1</x:v>
      </x:c>
      <x:c r="B4" s="349" t="str">
        <x:v>ROV电源板开关天启大电流控制器</x:v>
      </x:c>
      <x:c r="C4" s="349" t="str">
        <x:v>5V/12V输出 / 板载大电流MOS开关</x:v>
      </x:c>
      <x:c r="D4" s="350" t="n">
        <x:v>1</x:v>
      </x:c>
      <x:c r="E4" s="351" t="n">
        <x:v>249</x:v>
      </x:c>
      <x:c r="F4" s="351" t="n">
        <x:f>D4*E4</x:f>
        <x:v>249</x:v>
      </x:c>
      <x:c r="G4" s="349" t="str">
        <x:v>店铺名未显示</x:v>
      </x:c>
      <x:c r="H4" s="349" t="str">
        <x:v>包邮；截图未显示完整店铺名</x:v>
      </x:c>
    </x:row>
    <x:row r="5" ht="48" customHeight="1">
      <x:c r="A5" s="348" t="n">
        <x:v>2</x:v>
      </x:c>
      <x:c r="B5" s="349" t="str">
        <x:v>海目云水下机器人大深水旋钮开关</x:v>
      </x:c>
      <x:c r="C5" s="349" t="str">
        <x:v>M10开关</x:v>
      </x:c>
      <x:c r="D5" s="350" t="n">
        <x:v>1</x:v>
      </x:c>
      <x:c r="E5" s="351" t="n">
        <x:v>93.58</x:v>
      </x:c>
      <x:c r="F5" s="351" t="n">
        <x:f>D5*E5</x:f>
        <x:v>93.58</x:v>
      </x:c>
      <x:c r="G5" s="349" t="str">
        <x:v>VIOCEAN海目云海洋科技企业店</x:v>
      </x:c>
      <x:c r="H5" s="349" t="str">
        <x:v>补贴后价格</x:v>
      </x:c>
    </x:row>
    <x:row r="6" ht="48" customHeight="1">
      <x:c r="A6" s="348" t="n">
        <x:v>3</x:v>
      </x:c>
      <x:c r="B6" s="349" t="str">
        <x:v>得力办公家用不锈钢美工剪刀</x:v>
      </x:c>
      <x:c r="C6" s="349" t="str">
        <x:v>办公家用剪刀</x:v>
      </x:c>
      <x:c r="D6" s="350" t="n">
        <x:v>1</x:v>
      </x:c>
      <x:c r="E6" s="351" t="n">
        <x:v>8</x:v>
      </x:c>
      <x:c r="F6" s="351" t="n">
        <x:f>D6*E6</x:f>
        <x:v>8</x:v>
      </x:c>
      <x:c r="G6" s="349" t="str">
        <x:v>得力文具品牌旗舰店</x:v>
      </x:c>
      <x:c r="H6" s="349" t="str">
        <x:v>文具订单商品</x:v>
      </x:c>
    </x:row>
    <x:row r="7" ht="48" customHeight="1">
      <x:c r="A7" s="348" t="n">
        <x:v>4</x:v>
      </x:c>
      <x:c r="B7" s="349" t="str">
        <x:v>小鱼儿有机玻璃透明直尺</x:v>
      </x:c>
      <x:c r="C7" s="349" t="str">
        <x:v>塑料透明尺</x:v>
      </x:c>
      <x:c r="D7" s="350" t="n">
        <x:v>1</x:v>
      </x:c>
      <x:c r="E7" s="351" t="n">
        <x:v>2</x:v>
      </x:c>
      <x:c r="F7" s="351" t="n">
        <x:f>D7*E7</x:f>
        <x:v>2</x:v>
      </x:c>
      <x:c r="G7" s="349" t="str">
        <x:v>得力文具品牌旗舰店</x:v>
      </x:c>
      <x:c r="H7" s="349" t="str">
        <x:v>文具订单商品</x:v>
      </x:c>
    </x:row>
    <x:row r="8" ht="48" customHeight="1">
      <x:c r="A8" s="348" t="n">
        <x:v>5</x:v>
      </x:c>
      <x:c r="B8" s="349" t="str">
        <x:v>得力小号迷你美工刀</x:v>
      </x:c>
      <x:c r="C8" s="349" t="str">
        <x:v>拆快递迷你美工刀</x:v>
      </x:c>
      <x:c r="D8" s="350" t="n">
        <x:v>1</x:v>
      </x:c>
      <x:c r="E8" s="351" t="n">
        <x:v>3</x:v>
      </x:c>
      <x:c r="F8" s="351" t="n">
        <x:f>D8*E8</x:f>
        <x:v>3</x:v>
      </x:c>
      <x:c r="G8" s="349" t="str">
        <x:v>得力文具品牌旗舰店</x:v>
      </x:c>
      <x:c r="H8" s="349" t="str">
        <x:v>文具订单商品</x:v>
      </x:c>
    </x:row>
    <x:row r="9" ht="48" customHeight="1">
      <x:c r="A9" s="348" t="n">
        <x:v>6</x:v>
      </x:c>
      <x:c r="B9" s="349" t="str">
        <x:v>电工绝缘胶带</x:v>
      </x:c>
      <x:c r="C9" s="349" t="str">
        <x:v>PVC阻燃防水绝缘胶带</x:v>
      </x:c>
      <x:c r="D9" s="350" t="n">
        <x:v>2</x:v>
      </x:c>
      <x:c r="E9" s="351" t="n">
        <x:v>2.5</x:v>
      </x:c>
      <x:c r="F9" s="351" t="n">
        <x:f>D9*E9</x:f>
        <x:v>5</x:v>
      </x:c>
      <x:c r="G9" s="349" t="str">
        <x:v>得力文具品牌旗舰店</x:v>
      </x:c>
      <x:c r="H9" s="349" t="str">
        <x:v>2卷合计5元</x:v>
      </x:c>
    </x:row>
    <x:row r="10" ht="48" customHeight="1">
      <x:c r="A10" s="348" t="n">
        <x:v>7</x:v>
      </x:c>
      <x:c r="B10" s="349" t="str">
        <x:v>运费</x:v>
      </x:c>
      <x:c r="C10" s="349" t="str">
        <x:v>文具订单运费</x:v>
      </x:c>
      <x:c r="D10" s="350"/>
      <x:c r="E10" s="351" t="n">
        <x:v>9</x:v>
      </x:c>
      <x:c r="F10" s="351" t="n">
        <x:f>IF(D10="",E10,D10*E10)</x:f>
        <x:v>9</x:v>
      </x:c>
      <x:c r="G10" s="349" t="str">
        <x:v>得力文具品牌旗舰店</x:v>
      </x:c>
      <x:c r="H10" s="349" t="str">
        <x:v>商品金额18元；运费9元</x:v>
      </x:c>
    </x:row>
    <x:row r="11" ht="30" customHeight="1">
      <x:c r="A11" s="352" t="str">
        <x:v>本日合计</x:v>
      </x:c>
      <x:c r="B11" s="352"/>
      <x:c r="C11" s="352"/>
      <x:c r="D11" s="353" t="n">
        <x:f>SUM(D4:D10)</x:f>
        <x:v>7</x:v>
      </x:c>
      <x:c r="E11" s="354"/>
      <x:c r="F11" s="355" t="n">
        <x:f>SUM(F4:F10)</x:f>
        <x:v>369.58</x:v>
      </x:c>
      <x:c r="G11" s="356"/>
      <x:c r="H11" s="356"/>
    </x:row>
  </x:sheetData>
  <x:mergeCells>
    <x:mergeCell ref="A1:H1"/>
    <x:mergeCell ref="A2:H2"/>
    <x:mergeCell ref="A11:C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399" t="str">
        <x:v>2026-08-10 采购清单</x:v>
      </x:c>
      <x:c r="B1" s="399"/>
      <x:c r="C1" s="399"/>
      <x:c r="D1" s="399"/>
      <x:c r="E1" s="399"/>
      <x:c r="F1" s="399"/>
      <x:c r="G1" s="399"/>
      <x:c r="H1" s="399"/>
    </x:row>
    <x:row r="2" ht="24" customHeight="1">
      <x:c r="A2" s="400" t="str">
        <x:v>采购日期：2026-08-10</x:v>
      </x:c>
      <x:c r="B2" s="400"/>
      <x:c r="C2" s="400"/>
      <x:c r="D2" s="400"/>
      <x:c r="E2" s="400"/>
      <x:c r="F2" s="400"/>
      <x:c r="G2" s="400"/>
      <x:c r="H2" s="400"/>
    </x:row>
    <x:row r="3" ht="32" customHeight="1">
      <x:c r="A3" s="401" t="str">
        <x:v>序号</x:v>
      </x:c>
      <x:c r="B3" s="401" t="str">
        <x:v>商品名称</x:v>
      </x:c>
      <x:c r="C3" s="401" t="str">
        <x:v>规格/型号</x:v>
      </x:c>
      <x:c r="D3" s="402" t="str">
        <x:v>数量</x:v>
      </x:c>
      <x:c r="E3" s="402" t="str">
        <x:v>单价（元）</x:v>
      </x:c>
      <x:c r="F3" s="402" t="str">
        <x:v>金额（元）</x:v>
      </x:c>
      <x:c r="G3" s="401" t="str">
        <x:v>店铺</x:v>
      </x:c>
      <x:c r="H3" s="401" t="str">
        <x:v>备注</x:v>
      </x:c>
    </x:row>
    <x:row r="4" ht="54" customHeight="1">
      <x:c r="A4" s="403" t="n">
        <x:v>1</x:v>
      </x:c>
      <x:c r="B4" s="404" t="str">
        <x:v>纯铜加粗0.5平方5A大电流Type-C公单头线</x:v>
      </x:c>
      <x:c r="C4" s="404" t="str">
        <x:v>0.3m / Type-C公单 / 黑色</x:v>
      </x:c>
      <x:c r="D4" s="405" t="n">
        <x:v>1</x:v>
      </x:c>
      <x:c r="E4" s="406" t="n">
        <x:v>4.98</x:v>
      </x:c>
      <x:c r="F4" s="406" t="n">
        <x:v>4.98</x:v>
      </x:c>
      <x:c r="G4" s="404" t="str">
        <x:v>邵深源线材工厂批发店</x:v>
      </x:c>
      <x:c r="H4" s="404" t="str">
        <x:v>先用后付；订单号3316184510600008294</x:v>
      </x:c>
    </x:row>
    <x:row r="5" ht="26" customHeight="1">
      <x:c r="A5" s="407" t="str">
        <x:v>本日合计</x:v>
      </x:c>
      <x:c r="B5" s="408"/>
      <x:c r="C5" s="408"/>
      <x:c r="D5" s="409" t="n">
        <x:v>1</x:v>
      </x:c>
      <x:c r="E5" s="410"/>
      <x:c r="F5" s="410" t="n">
        <x:v>4.98</x:v>
      </x:c>
      <x:c r="G5" s="408"/>
      <x:c r="H5" s="408"/>
    </x:row>
    <x:row r="6">
      <x:c r="A6"/>
      <x:c r="B6"/>
      <x:c r="C6"/>
      <x:c r="D6"/>
      <x:c r="E6"/>
      <x:c r="F6"/>
      <x:c r="G6"/>
      <x:c r="H6"/>
    </x:row>
  </x:sheetData>
  <x:mergeCells>
    <x:mergeCell ref="A1:H1"/>
    <x:mergeCell ref="A2:H2"/>
    <x:mergeCell ref="A5:C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31" hidden="0" customWidth="1"/>
    <x:col min="4" max="4" width="10" hidden="0" customWidth="1"/>
    <x:col min="5" max="5" width="13" hidden="0" customWidth="1"/>
    <x:col min="6" max="6" width="13" hidden="0" customWidth="1"/>
    <x:col min="7" max="7" width="27" hidden="0" customWidth="1"/>
    <x:col min="8" max="8" width="34" hidden="0" customWidth="1"/>
  </x:cols>
  <x:sheetData>
    <x:row r="1" ht="30" customHeight="1">
      <x:c r="A1" s="439" t="str">
        <x:v>2026-08-14 采购清单</x:v>
      </x:c>
      <x:c r="B1" s="439"/>
      <x:c r="C1" s="439"/>
      <x:c r="D1" s="439"/>
      <x:c r="E1" s="439"/>
      <x:c r="F1" s="439"/>
      <x:c r="G1" s="439"/>
      <x:c r="H1" s="439"/>
    </x:row>
    <x:row r="2" ht="24" customHeight="1">
      <x:c r="A2" s="443" t="str">
        <x:v>采购日期：2026-08-14</x:v>
      </x:c>
      <x:c r="B2" s="443"/>
      <x:c r="C2" s="443"/>
      <x:c r="D2" s="443"/>
      <x:c r="E2" s="443"/>
      <x:c r="F2" s="443"/>
      <x:c r="G2" s="443"/>
      <x:c r="H2" s="443"/>
    </x:row>
    <x:row r="3" ht="32" customHeight="1">
      <x:c r="A3" s="449" t="str">
        <x:v>序号</x:v>
      </x:c>
      <x:c r="B3" s="449" t="str">
        <x:v>商品名称</x:v>
      </x:c>
      <x:c r="C3" s="449" t="str">
        <x:v>规格/型号</x:v>
      </x:c>
      <x:c r="D3" s="457" t="str">
        <x:v>数量</x:v>
      </x:c>
      <x:c r="E3" s="457" t="str">
        <x:v>单价（元）</x:v>
      </x:c>
      <x:c r="F3" s="457" t="str">
        <x:v>金额（元）</x:v>
      </x:c>
      <x:c r="G3" s="449" t="str">
        <x:v>店铺</x:v>
      </x:c>
      <x:c r="H3" s="449" t="str">
        <x:v>备注</x:v>
      </x:c>
    </x:row>
    <x:row r="4" ht="46" customHeight="1">
      <x:c r="A4" s="403" t="n">
        <x:v>1</x:v>
      </x:c>
      <x:c r="B4" s="404" t="str">
        <x:v>热熔胶枪</x:v>
      </x:c>
      <x:c r="C4" s="404" t="str">
        <x:v>7mm胶棒适用 / 不含胶棒</x:v>
      </x:c>
      <x:c r="D4" s="405" t="n">
        <x:v>1</x:v>
      </x:c>
      <x:c r="E4" s="406" t="n">
        <x:v>20.2</x:v>
      </x:c>
      <x:c r="F4" s="406" t="n">
        <x:f>D4*E4</x:f>
        <x:v>20.2</x:v>
      </x:c>
      <x:c r="G4" s="404" t="str">
        <x:v>咚宜佳超市（大学城店）</x:v>
      </x:c>
      <x:c r="H4" s="404" t="str">
        <x:v>实付价</x:v>
      </x:c>
    </x:row>
    <x:row r="5" ht="46" customHeight="1">
      <x:c r="A5" s="403" t="n">
        <x:v>2</x:v>
      </x:c>
      <x:c r="B5" s="404" t="str">
        <x:v>热熔胶棒</x:v>
      </x:c>
      <x:c r="C5" s="404" t="str">
        <x:v>7mm / 1条装</x:v>
      </x:c>
      <x:c r="D5" s="405" t="n">
        <x:v>10</x:v>
      </x:c>
      <x:c r="E5" s="406" t="n">
        <x:v>0.43</x:v>
      </x:c>
      <x:c r="F5" s="406" t="n">
        <x:f>D5*E5</x:f>
        <x:v>4.3</x:v>
      </x:c>
      <x:c r="G5" s="404" t="str">
        <x:v>咚宜佳超市（大学城店）</x:v>
      </x:c>
      <x:c r="H5" s="404" t="str">
        <x:v>10条合计4.30元</x:v>
      </x:c>
    </x:row>
    <x:row r="6" ht="46" customHeight="1">
      <x:c r="A6" s="403" t="n">
        <x:v>3</x:v>
      </x:c>
      <x:c r="B6" s="404" t="str">
        <x:v>打包费</x:v>
      </x:c>
      <x:c r="C6" s="404" t="str">
        <x:v>订单打包费</x:v>
      </x:c>
      <x:c r="D6" s="405"/>
      <x:c r="E6" s="406" t="n">
        <x:v>1</x:v>
      </x:c>
      <x:c r="F6" s="406" t="n">
        <x:v>1</x:v>
      </x:c>
      <x:c r="G6" s="404" t="str">
        <x:v>咚宜佳超市（大学城店）</x:v>
      </x:c>
      <x:c r="H6" s="404" t="str">
        <x:v>商品24.50元；打包费1.00元</x:v>
      </x:c>
    </x:row>
    <x:row r="7" ht="26" customHeight="1">
      <x:c r="A7" s="456" t="str">
        <x:v>本日合计</x:v>
      </x:c>
      <x:c r="B7" s="455"/>
      <x:c r="C7" s="455"/>
      <x:c r="D7" s="460" t="n">
        <x:f>SUM(D4:D5)</x:f>
        <x:v>11</x:v>
      </x:c>
      <x:c r="E7" s="461"/>
      <x:c r="F7" s="461" t="n">
        <x:f>SUM(F4:F6)</x:f>
        <x:v>25.5</x:v>
      </x:c>
      <x:c r="G7" s="455"/>
      <x:c r="H7" s="455"/>
    </x:row>
  </x:sheetData>
  <x:mergeCells>
    <x:mergeCell ref="A1:H1"/>
    <x:mergeCell ref="A2:H2"/>
    <x:mergeCell ref="A7:C7"/>
  </x:mergeCells>
  <x:pageMargins left="0.7" right="0.7" top="0.75" bottom="0.75" header="0.3" footer="0.3"/>
</x:worksheet>
</file>