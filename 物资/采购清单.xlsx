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dd279b6d0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7-13" sheetId="1" r:id="R1084e13719fb46d2"/>
    <x:sheet xmlns:r="http://schemas.openxmlformats.org/officeDocument/2006/relationships" name="2026-07-21" sheetId="2" r:id="R87f2616367464519"/>
    <x:sheet xmlns:r="http://schemas.openxmlformats.org/officeDocument/2006/relationships" name="2026-07-22" sheetId="3" r:id="R2beb8cb55ad64986"/>
    <x:sheet xmlns:r="http://schemas.openxmlformats.org/officeDocument/2006/relationships" name="总计" sheetId="4" r:id="R61cc8384b83e4138"/>
    <x:sheet xmlns:r="http://schemas.openxmlformats.org/officeDocument/2006/relationships" name="2026-07-24" sheetId="5" r:id="Ra3cccc528ad94395"/>
    <x:sheet xmlns:r="http://schemas.openxmlformats.org/officeDocument/2006/relationships" name="2026-07-28" sheetId="6" r:id="R7a3afd37be5e42a8"/>
    <x:sheet xmlns:r="http://schemas.openxmlformats.org/officeDocument/2006/relationships" name="2026-07-29" sheetId="7" r:id="R8d7f7bfaa16c4f00"/>
    <x:sheet xmlns:r="http://schemas.openxmlformats.org/officeDocument/2006/relationships" name="2026-08-03" sheetId="8" r:id="R4a83fe2412764fa0"/>
    <x:sheet xmlns:r="http://schemas.openxmlformats.org/officeDocument/2006/relationships" name="2026-08-07" sheetId="9" r:id="Rddeb41cfde2b412d"/>
    <x:sheet xmlns:r="http://schemas.openxmlformats.org/officeDocument/2006/relationships" name="2026-08-10" sheetId="10" r:id="Rb519b17b08104888"/>
    <x:sheet xmlns:r="http://schemas.openxmlformats.org/officeDocument/2006/relationships" name="2026-08-14" sheetId="11" r:id="R758cea5744c04a8a"/>
    <x:sheet xmlns:r="http://schemas.openxmlformats.org/officeDocument/2006/relationships" name="2026-08-17" sheetId="12" r:id="R85ee919e89ec4d51"/>
    <x:sheet xmlns:r="http://schemas.openxmlformats.org/officeDocument/2006/relationships" name="2026-08-18" sheetId="13" r:id="R4caa91a8e72449e0"/>
    <x:sheet xmlns:r="http://schemas.openxmlformats.org/officeDocument/2006/relationships" name="2026-08-25" sheetId="14" r:id="Rf894ddf71deb45c5"/>
    <x:sheet xmlns:r="http://schemas.openxmlformats.org/officeDocument/2006/relationships" name="2026-08-26" sheetId="15" r:id="R644d57b9b91e47ff"/>
    <x:sheet xmlns:r="http://schemas.openxmlformats.org/officeDocument/2006/relationships" name="2026-08-28" sheetId="16" r:id="R64df2bb374ab45e8"/>
    <x:sheet xmlns:r="http://schemas.openxmlformats.org/officeDocument/2006/relationships" name="2026-08-30" sheetId="17" r:id="R81aaada94ca8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yyyy-mm-dd"/>
    <x:numFmt numFmtId="203" formatCode="0.00"/>
    <x:numFmt numFmtId="204" formatCode="@"/>
  </x:numFmts>
  <x:fonts count="3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062"/>
      <x:name val="Carlito"/>
    </x:font>
    <x:font>
      <x:sz val="11"/>
      <x:color rgb="FF1F2937"/>
      <x:name val="Carlito"/>
    </x:font>
    <x:font>
      <x:b/>
      <x:sz val="11"/>
      <x:color rgb="FF244062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244A6D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1F4E78"/>
      <x:name val="Carlito"/>
    </x:font>
    <x:font>
      <x:b/>
      <x:sz val="16"/>
      <x:color rgb="FFFFFFFF"/>
      <x:name val="Microsoft YaHei"/>
    </x:font>
    <x:font>
      <x:b/>
      <x:sz val="11"/>
      <x:color rgb="FF1F1F1F"/>
      <x:name val="Microsoft YaHei"/>
    </x:font>
    <x:font>
      <x:b/>
      <x:sz val="11"/>
      <x:color rgb="FFFFFFFF"/>
      <x:name val="Microsoft YaHei"/>
    </x:font>
    <x:font>
      <x:sz val="11"/>
      <x:color rgb="FF1F1F1F"/>
      <x:name val="Microsoft YaHei"/>
    </x:font>
    <x:font>
      <x:b/>
      <x:sz val="11"/>
      <x:color rgb="FF1F4E78"/>
      <x:name val="Microsoft YaHei"/>
    </x:font>
    <x:font>
      <x:sz val="11"/>
      <x:color rgb="FF1F1F1F"/>
      <x:name val="Microsoft YaHei"/>
    </x:font>
    <x:font>
      <x:sz val="11"/>
      <x:color rgb="FF1F1F1F"/>
      <x:name val="Microsoft YaHei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203040"/>
      <x:name val="Microsoft YaHei"/>
    </x:font>
    <x:font>
      <x:sz val="11"/>
      <x:color rgb="FF203040"/>
      <x:name val="Carlito"/>
    </x:font>
    <x:font>
      <x:sz val="11"/>
      <x:color rgb="FF203040"/>
      <x:name val="Carlito"/>
    </x:font>
    <x:font>
      <x:sz val="11"/>
      <x:color rgb="FF203040"/>
      <x:name val="Carlito"/>
    </x:font>
  </x:fonts>
  <x:fills count="79">
    <x:fill>
      <x:patternFill patternType="none"/>
    </x:fill>
    <x:fill>
      <x:patternFill patternType="gray125"/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244062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244062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  <x:border>
      <x:left style="medium">
        <x:color rgb="FF244062"/>
      </x:left>
      <x:right style="medium">
        <x:color rgb="FF244062"/>
      </x:right>
      <x:top style="medium">
        <x:color rgb="FF244062"/>
      </x:top>
      <x:bottom style="medium">
        <x:color rgb="FF244062"/>
      </x:bottom>
    </x:border>
    <x:border>
      <x:left style="medium">
        <x:color rgb="FF244A6D"/>
      </x:left>
      <x:right style="medium">
        <x:color rgb="FF244A6D"/>
      </x:right>
      <x:top style="medium">
        <x:color rgb="FF244A6D"/>
      </x:top>
      <x:bottom style="medium">
        <x:color rgb="FF244A6D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5B9BD5"/>
      </x:left>
      <x:top style="medium">
        <x:color rgb="FF1F4E78"/>
      </x:top>
      <x:bottom style="thin">
        <x:color rgb="FF5B9BD5"/>
      </x:bottom>
    </x:border>
    <x:border>
      <x:top style="medium">
        <x:color rgb="FF1F4E78"/>
      </x:top>
      <x:bottom style="thin">
        <x:color rgb="FF5B9BD5"/>
      </x:bottom>
    </x:border>
    <x:border>
      <x:right style="thin">
        <x:color rgb="FF5B9BD5"/>
      </x:right>
      <x:top style="medium">
        <x:color rgb="FF1F4E78"/>
      </x:top>
      <x:bottom style="thin">
        <x:color rgb="FF5B9BD5"/>
      </x:bottom>
    </x:border>
    <x:border>
      <x:left style="thin">
        <x:color rgb="FF5B9BD5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thin">
        <x:color rgb="FF5B9BD5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8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right" vertical="center"/>
    </x:xf>
    <x:xf numFmtId="201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horizontal="center"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horizontal="right" vertical="center"/>
    </x:xf>
    <x:xf numFmtId="201" fontId="4" fillId="10" borderId="2" xfId="0" applyNumberFormat="1" applyFont="1" applyFill="1" applyBorder="1" applyAlignment="1">
      <x:alignment vertical="center"/>
    </x:xf>
    <x:xf numFmtId="201" fontId="4" fillId="10" borderId="2" xfId="0" applyNumberFormat="1" applyFont="1" applyFill="1" applyBorder="1" applyAlignment="1">
      <x:alignment horizontal="center" vertical="center"/>
    </x:xf>
    <x:xf numFmtId="200" fontId="4" fillId="10" borderId="2" xfId="0" applyNumberFormat="1" applyFont="1" applyFill="1" applyBorder="1" applyAlignment="1">
      <x:alignment vertical="center"/>
    </x:xf>
    <x:xf numFmtId="200" fontId="4" fillId="10" borderId="2" xfId="0" applyNumberFormat="1" applyFont="1" applyFill="1" applyBorder="1" applyAlignment="1">
      <x:alignment horizontal="right" vertical="center"/>
    </x:xf>
    <x:xf numFmtId="0" fontId="4" fillId="11" borderId="2" xfId="0" applyNumberFormat="1" applyFont="1" applyFill="1" applyBorder="1" applyAlignment="1">
      <x:alignment horizontal="center" vertical="center"/>
    </x:xf>
    <x:xf numFmtId="200" fontId="4" fillId="11" borderId="2" xfId="0" applyNumberFormat="1" applyFont="1" applyFill="1" applyBorder="1" applyAlignment="1">
      <x:alignment horizontal="right" vertical="center"/>
    </x:xf>
    <x:xf numFmtId="0" fontId="4" fillId="11" borderId="2" xfId="0" applyNumberFormat="1" applyFont="1" applyFill="1" applyBorder="1" applyAlignment="1">
      <x:alignment vertical="center"/>
    </x:xf>
    <x:xf numFmtId="0" fontId="5" fillId="11" borderId="2" xfId="0" applyNumberFormat="1" applyFont="1" applyFill="1" applyBorder="1" applyAlignment="1">
      <x:alignment horizontal="center" vertical="center"/>
    </x:xf>
    <x:xf numFmtId="200" fontId="5" fillId="11" borderId="2" xfId="0" applyNumberFormat="1" applyFont="1" applyFill="1" applyBorder="1" applyAlignment="1">
      <x:alignment horizontal="right" vertical="center"/>
    </x:xf>
    <x:xf numFmtId="0" fontId="5" fillId="11" borderId="2" xfId="0" applyNumberFormat="1" applyFont="1" applyFill="1" applyBorder="1" applyAlignment="1">
      <x:alignment vertical="center"/>
    </x:xf>
    <x:xf numFmtId="0" fontId="5" fillId="11" borderId="1" xfId="0" applyNumberFormat="1" applyFont="1" applyFill="1" applyBorder="1" applyAlignment="1">
      <x:alignment horizontal="center" vertical="center"/>
    </x:xf>
    <x:xf numFmtId="200" fontId="5" fillId="11" borderId="1" xfId="0" applyNumberFormat="1" applyFont="1" applyFill="1" applyBorder="1" applyAlignment="1">
      <x:alignment horizontal="right" vertical="center"/>
    </x:xf>
    <x:xf numFmtId="0" fontId="5" fillId="11" borderId="1" xfId="0" applyNumberFormat="1" applyFont="1" applyFill="1" applyBorder="1" applyAlignment="1">
      <x:alignment vertical="center"/>
    </x:xf>
    <x:xf numFmtId="202" fontId="5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2" xfId="0" applyNumberFormat="1" applyFont="1" applyFill="1" applyBorder="1"/>
    <x:xf numFmtId="0" fontId="4" fillId="12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horizontal="center" vertical="center"/>
    </x:xf>
    <x:xf numFmtId="200" fontId="4" fillId="12" borderId="2" xfId="0" applyNumberFormat="1" applyFont="1" applyFill="1" applyBorder="1" applyAlignment="1">
      <x:alignment vertical="center"/>
    </x:xf>
    <x:xf numFmtId="200" fontId="4" fillId="12" borderId="2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vertical="center"/>
    </x:xf>
    <x:xf numFmtId="0" fontId="4" fillId="16" borderId="2" xfId="0" applyNumberFormat="1" applyFont="1" applyFill="1" applyBorder="1" applyAlignment="1">
      <x:alignment horizontal="right" vertical="center"/>
    </x:xf>
    <x:xf numFmtId="201" fontId="4" fillId="16" borderId="2" xfId="0" applyNumberFormat="1" applyFont="1" applyFill="1" applyBorder="1" applyAlignment="1">
      <x:alignment vertical="center"/>
    </x:xf>
    <x:xf numFmtId="201" fontId="4" fillId="16" borderId="2" xfId="0" applyNumberFormat="1" applyFont="1" applyFill="1" applyBorder="1" applyAlignment="1">
      <x:alignment horizontal="center" vertical="center"/>
    </x:xf>
    <x:xf numFmtId="200" fontId="4" fillId="16" borderId="2" xfId="0" applyNumberFormat="1" applyFont="1" applyFill="1" applyBorder="1" applyAlignment="1">
      <x:alignment vertical="center"/>
    </x:xf>
    <x:xf numFmtId="200" fontId="4" fillId="16" borderId="2" xfId="0" applyNumberFormat="1" applyFont="1" applyFill="1" applyBorder="1" applyAlignment="1">
      <x:alignment horizontal="right" vertical="center"/>
    </x:xf>
    <x:xf numFmtId="0" fontId="4" fillId="17" borderId="2" xfId="0" applyNumberFormat="1" applyFont="1" applyFill="1" applyBorder="1" applyAlignment="1">
      <x:alignment horizontal="center" vertical="center"/>
    </x:xf>
    <x:xf numFmtId="200" fontId="4" fillId="17" borderId="2" xfId="0" applyNumberFormat="1" applyFont="1" applyFill="1" applyBorder="1" applyAlignment="1">
      <x:alignment horizontal="right" vertical="center"/>
    </x:xf>
    <x:xf numFmtId="0" fontId="4" fillId="17" borderId="2" xfId="0" applyNumberFormat="1" applyFont="1" applyFill="1" applyBorder="1" applyAlignment="1">
      <x:alignment vertical="center"/>
    </x:xf>
    <x:xf numFmtId="0" fontId="6" fillId="17" borderId="2" xfId="0" applyNumberFormat="1" applyFont="1" applyFill="1" applyBorder="1" applyAlignment="1">
      <x:alignment horizontal="center" vertical="center"/>
    </x:xf>
    <x:xf numFmtId="200" fontId="6" fillId="17" borderId="2" xfId="0" applyNumberFormat="1" applyFont="1" applyFill="1" applyBorder="1" applyAlignment="1">
      <x:alignment horizontal="right" vertical="center"/>
    </x:xf>
    <x:xf numFmtId="0" fontId="6" fillId="17" borderId="2" xfId="0" applyNumberFormat="1" applyFont="1" applyFill="1" applyBorder="1" applyAlignment="1">
      <x:alignment vertical="center"/>
    </x:xf>
    <x:xf numFmtId="0" fontId="6" fillId="17" borderId="1" xfId="0" applyNumberFormat="1" applyFont="1" applyFill="1" applyBorder="1" applyAlignment="1">
      <x:alignment horizontal="center" vertical="center"/>
    </x:xf>
    <x:xf numFmtId="200" fontId="6" fillId="17" borderId="1" xfId="0" applyNumberFormat="1" applyFont="1" applyFill="1" applyBorder="1" applyAlignment="1">
      <x:alignment horizontal="right" vertical="center"/>
    </x:xf>
    <x:xf numFmtId="0" fontId="6" fillId="17" borderId="1" xfId="0" applyNumberFormat="1" applyFont="1" applyFill="1" applyBorder="1" applyAlignment="1">
      <x:alignment vertical="center"/>
    </x:xf>
    <x:xf numFmtId="202" fontId="6" fillId="17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2" xfId="0" applyNumberFormat="1" applyFont="1" applyFill="1" applyBorder="1"/>
    <x:xf numFmtId="0" fontId="4" fillId="18" borderId="2" xfId="0" applyNumberFormat="1" applyFont="1" applyFill="1" applyBorder="1" applyAlignment="1">
      <x:alignment vertical="center"/>
    </x:xf>
    <x:xf numFmtId="0" fontId="4" fillId="18" borderId="2" xfId="0" applyNumberFormat="1" applyFont="1" applyFill="1" applyBorder="1" applyAlignment="1">
      <x:alignment horizontal="center" vertical="center"/>
    </x:xf>
    <x:xf numFmtId="200" fontId="4" fillId="18" borderId="2" xfId="0" applyNumberFormat="1" applyFont="1" applyFill="1" applyBorder="1" applyAlignment="1">
      <x:alignment vertical="center"/>
    </x:xf>
    <x:xf numFmtId="200" fontId="4" fillId="18" borderId="2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 applyAlignment="1">
      <x:alignment horizontal="right" vertical="center" wrapText="1"/>
    </x:xf>
    <x:xf numFmtId="201" fontId="4" fillId="5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horizontal="center" vertical="center" wrapText="1"/>
    </x:xf>
    <x:xf numFmtId="203" fontId="3" fillId="0" borderId="1" xfId="0" applyNumberFormat="1" applyFont="1" applyFill="1" applyBorder="1" applyAlignment="1">
      <x:alignment horizontal="right" vertical="center" wrapText="1"/>
    </x:xf>
    <x:xf numFmtId="203" fontId="4" fillId="5" borderId="2" xfId="0" applyNumberFormat="1" applyFont="1" applyFill="1" applyBorder="1" applyAlignment="1">
      <x:alignment horizontal="center" vertical="center" wrapText="1"/>
    </x:xf>
    <x:xf numFmtId="203" fontId="4" fillId="5" borderId="2" xfId="0" applyNumberFormat="1" applyFont="1" applyFill="1" applyBorder="1" applyAlignment="1">
      <x:alignment vertical="center" wrapText="1"/>
    </x:xf>
    <x:xf numFmtId="203" fontId="4" fillId="5" borderId="2" xfId="0" applyNumberFormat="1" applyFont="1" applyFill="1" applyBorder="1" applyAlignment="1">
      <x:alignment horizontal="right"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19" borderId="2" xfId="0" applyNumberFormat="1" applyFont="1" applyFill="1" applyBorder="1" applyAlignment="1">
      <x:alignment horizontal="right" vertical="center" wrapText="1"/>
    </x:xf>
    <x:xf numFmtId="203" fontId="4" fillId="19" borderId="2" xfId="0" applyNumberFormat="1" applyFont="1" applyFill="1" applyBorder="1" applyAlignment="1">
      <x:alignment horizontal="center" vertical="center" wrapText="1"/>
    </x:xf>
    <x:xf numFmtId="203" fontId="4" fillId="19" borderId="2" xfId="0" applyNumberFormat="1" applyFont="1" applyFill="1" applyBorder="1" applyAlignment="1">
      <x:alignment vertical="center" wrapText="1"/>
    </x:xf>
    <x:xf numFmtId="203" fontId="4" fillId="19" borderId="2" xfId="0" applyNumberFormat="1" applyFont="1" applyFill="1" applyBorder="1" applyAlignment="1">
      <x:alignment horizontal="right" vertical="center" wrapText="1"/>
    </x:xf>
    <x:xf numFmtId="0" fontId="4" fillId="19" borderId="2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wrapText="1"/>
    </x:xf>
    <x:xf numFmtId="203" fontId="0" fillId="19" borderId="0" xfId="0" applyNumberFormat="1" applyFont="1" applyFill="1" applyBorder="1" applyAlignment="1">
      <x:alignment wrapText="1"/>
    </x:xf>
    <x:xf numFmtId="0" fontId="7" fillId="19" borderId="2" xfId="0" applyNumberFormat="1" applyFont="1" applyFill="1" applyBorder="1" applyAlignment="1">
      <x:alignment horizontal="right" vertical="center" wrapText="1"/>
    </x:xf>
    <x:xf numFmtId="203" fontId="7" fillId="19" borderId="2" xfId="0" applyNumberFormat="1" applyFont="1" applyFill="1" applyBorder="1" applyAlignment="1">
      <x:alignment horizontal="center" vertical="center" wrapText="1"/>
    </x:xf>
    <x:xf numFmtId="203" fontId="7" fillId="19" borderId="2" xfId="0" applyNumberFormat="1" applyFont="1" applyFill="1" applyBorder="1" applyAlignment="1">
      <x:alignment vertical="center" wrapText="1"/>
    </x:xf>
    <x:xf numFmtId="203" fontId="7" fillId="19" borderId="2" xfId="0" applyNumberFormat="1" applyFont="1" applyFill="1" applyBorder="1" applyAlignment="1">
      <x:alignment horizontal="right" vertical="center" wrapText="1"/>
    </x:xf>
    <x:xf numFmtId="0" fontId="7" fillId="19" borderId="2" xfId="0" applyNumberFormat="1" applyFont="1" applyFill="1" applyBorder="1" applyAlignment="1">
      <x:alignment vertical="center" wrapText="1"/>
    </x:xf>
    <x:xf numFmtId="0" fontId="7" fillId="19" borderId="0" xfId="0" applyNumberFormat="1" applyFont="1" applyFill="1" applyBorder="1" applyAlignment="1">
      <x:alignment wrapText="1"/>
    </x:xf>
    <x:xf numFmtId="203" fontId="7" fillId="19" borderId="0" xfId="0" applyNumberFormat="1" applyFont="1" applyFill="1" applyBorder="1" applyAlignment="1">
      <x:alignment wrapText="1"/>
    </x:xf>
    <x:xf numFmtId="0" fontId="7" fillId="19" borderId="1" xfId="0" applyNumberFormat="1" applyFont="1" applyFill="1" applyBorder="1" applyAlignment="1">
      <x:alignment horizontal="right" vertical="center" wrapText="1"/>
    </x:xf>
    <x:xf numFmtId="203" fontId="7" fillId="19" borderId="1" xfId="0" applyNumberFormat="1" applyFont="1" applyFill="1" applyBorder="1" applyAlignment="1">
      <x:alignment horizontal="center" vertical="center" wrapText="1"/>
    </x:xf>
    <x:xf numFmtId="203" fontId="7" fillId="19" borderId="1" xfId="0" applyNumberFormat="1" applyFont="1" applyFill="1" applyBorder="1" applyAlignment="1">
      <x:alignment vertical="center" wrapText="1"/>
    </x:xf>
    <x:xf numFmtId="203" fontId="7" fillId="19" borderId="1" xfId="0" applyNumberFormat="1" applyFont="1" applyFill="1" applyBorder="1" applyAlignment="1">
      <x:alignment horizontal="right" vertical="center" wrapText="1"/>
    </x:xf>
    <x:xf numFmtId="0" fontId="7" fillId="19" borderId="1" xfId="0" applyNumberFormat="1" applyFont="1" applyFill="1" applyBorder="1" applyAlignment="1">
      <x:alignment vertical="center" wrapText="1"/>
    </x:xf>
    <x:xf numFmtId="0" fontId="7" fillId="19" borderId="1" xfId="0" applyNumberFormat="1" applyFont="1" applyFill="1" applyBorder="1" applyAlignment="1">
      <x:alignment wrapText="1"/>
    </x:xf>
    <x:xf numFmtId="203" fontId="7" fillId="19" borderId="1" xfId="0" applyNumberFormat="1" applyFont="1" applyFill="1" applyBorder="1" applyAlignment="1">
      <x:alignment wrapText="1"/>
    </x:xf>
    <x:xf numFmtId="0" fontId="7" fillId="19" borderId="1" xfId="0" applyNumberFormat="1" applyFont="1" applyFill="1" applyBorder="1" applyAlignment="1">
      <x:alignment horizontal="center" vertical="center" wrapText="1"/>
    </x:xf>
    <x:xf numFmtId="0" fontId="7" fillId="19" borderId="1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203" fontId="0" fillId="20" borderId="0" xfId="0" applyNumberFormat="1" applyFont="1" applyFill="1" applyBorder="1"/>
    <x:xf numFmtId="0" fontId="8" fillId="20" borderId="0" xfId="0" applyNumberFormat="1" applyFont="1" applyFill="1" applyBorder="1"/>
    <x:xf numFmtId="203" fontId="8" fillId="20" borderId="0" xfId="0" applyNumberFormat="1" applyFont="1" applyFill="1" applyBorder="1"/>
    <x:xf numFmtId="0" fontId="8" fillId="20" borderId="3" xfId="0" applyNumberFormat="1" applyFont="1" applyFill="1" applyBorder="1"/>
    <x:xf numFmtId="203" fontId="8" fillId="20" borderId="3" xfId="0" applyNumberFormat="1" applyFont="1" applyFill="1" applyBorder="1"/>
    <x:xf numFmtId="0" fontId="8" fillId="20" borderId="3" xfId="0" applyNumberFormat="1" applyFont="1" applyFill="1" applyBorder="1" applyAlignment="1">
      <x:alignment vertical="center"/>
    </x:xf>
    <x:xf numFmtId="203" fontId="8" fillId="20" borderId="3" xfId="0" applyNumberFormat="1" applyFont="1" applyFill="1" applyBorder="1" applyAlignment="1">
      <x:alignment vertical="center"/>
    </x:xf>
    <x:xf numFmtId="0" fontId="8" fillId="20" borderId="3" xfId="0" applyNumberFormat="1" applyFont="1" applyFill="1" applyBorder="1" applyAlignment="1">
      <x:alignment horizontal="right" vertical="center"/>
    </x:xf>
    <x:xf numFmtId="203" fontId="8" fillId="20" borderId="3" xfId="0" applyNumberFormat="1" applyFont="1" applyFill="1" applyBorder="1" applyAlignment="1">
      <x:alignment horizontal="center" vertical="center"/>
    </x:xf>
    <x:xf numFmtId="203" fontId="8" fillId="20" borderId="3" xfId="0" applyNumberFormat="1" applyFont="1" applyFill="1" applyBorder="1" applyAlignment="1">
      <x:alignment horizontal="right" vertical="center"/>
    </x:xf>
    <x:xf numFmtId="201" fontId="7" fillId="19" borderId="1" xfId="0" applyNumberFormat="1" applyFont="1" applyFill="1" applyBorder="1" applyAlignment="1">
      <x:alignment horizontal="center" vertical="center" wrapText="1"/>
    </x:xf>
    <x:xf numFmtId="201" fontId="8" fillId="20" borderId="3" xfId="0" applyNumberFormat="1" applyFont="1" applyFill="1" applyBorder="1" applyAlignment="1">
      <x:alignment horizontal="center" vertical="center"/>
    </x:xf>
    <x:xf numFmtId="200" fontId="7" fillId="19" borderId="1" xfId="0" applyNumberFormat="1" applyFont="1" applyFill="1" applyBorder="1" applyAlignment="1">
      <x:alignment horizontal="right" vertical="center" wrapText="1"/>
    </x:xf>
    <x:xf numFmtId="200" fontId="8" fillId="20" borderId="3" xfId="0" applyNumberFormat="1" applyFont="1" applyFill="1" applyBorder="1" applyAlignment="1">
      <x:alignment vertical="center"/>
    </x:xf>
    <x:xf numFmtId="200" fontId="8" fillId="20" borderId="3" xfId="0" applyNumberFormat="1" applyFont="1" applyFill="1" applyBorder="1" applyAlignment="1">
      <x:alignment horizontal="right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horizontal="left"/>
    </x:xf>
    <x:xf numFmtId="0" fontId="2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1" xfId="0" applyNumberFormat="1" applyFont="1" applyFill="1" applyBorder="1"/>
    <x:xf numFmtId="0" fontId="1" fillId="23" borderId="1" xfId="0" applyNumberFormat="1" applyFont="1" applyFill="1" applyBorder="1" applyAlignment="1">
      <x:alignment wrapText="1"/>
    </x:xf>
    <x:xf numFmtId="0" fontId="1" fillId="23" borderId="1" xfId="0" applyNumberFormat="1" applyFont="1" applyFill="1" applyBorder="1" applyAlignment="1">
      <x:alignment horizontal="center" wrapText="1"/>
    </x:xf>
    <x:xf numFmtId="0" fontId="1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9" fillId="24" borderId="1" xfId="0" applyNumberFormat="1" applyFont="1" applyFill="1" applyBorder="1"/>
    <x:xf numFmtId="0" fontId="9" fillId="24" borderId="1" xfId="0" applyNumberFormat="1" applyFont="1" applyFill="1" applyBorder="1" applyAlignment="1">
      <x:alignment wrapText="1"/>
    </x:xf>
    <x:xf numFmtId="0" fontId="9" fillId="24" borderId="1" xfId="0" applyNumberFormat="1" applyFont="1" applyFill="1" applyBorder="1" applyAlignment="1">
      <x:alignment vertical="center" wrapText="1"/>
    </x:xf>
    <x:xf numFmtId="0" fontId="9" fillId="24" borderId="1" xfId="0" applyNumberFormat="1" applyFont="1" applyFill="1" applyBorder="1" applyAlignment="1">
      <x:alignment horizontal="center" vertical="center" wrapText="1"/>
    </x:xf>
    <x:xf numFmtId="0" fontId="9" fillId="24" borderId="1" xfId="0" applyNumberFormat="1" applyFont="1" applyFill="1" applyBorder="1" applyAlignment="1">
      <x:alignment horizontal="right" vertical="center" wrapText="1"/>
    </x:xf>
    <x:xf numFmtId="0" fontId="9" fillId="24" borderId="1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3" xfId="0" applyNumberFormat="1" applyFont="1" applyFill="1" applyBorder="1"/>
    <x:xf numFmtId="0" fontId="8" fillId="25" borderId="3" xfId="0" applyNumberFormat="1" applyFont="1" applyFill="1" applyBorder="1" applyAlignment="1">
      <x:alignment vertical="center"/>
    </x:xf>
    <x:xf numFmtId="0" fontId="8" fillId="25" borderId="3" xfId="0" applyNumberFormat="1" applyFont="1" applyFill="1" applyBorder="1" applyAlignment="1">
      <x:alignment horizontal="right" vertical="center"/>
    </x:xf>
    <x:xf numFmtId="0" fontId="8" fillId="25" borderId="3" xfId="0" applyNumberFormat="1" applyFont="1" applyFill="1" applyBorder="1" applyAlignment="1">
      <x:alignment horizontal="center" vertical="center"/>
    </x:xf>
    <x:xf numFmtId="201" fontId="9" fillId="24" borderId="1" xfId="0" applyNumberFormat="1" applyFont="1" applyFill="1" applyBorder="1" applyAlignment="1">
      <x:alignment horizontal="center" vertical="center" wrapText="1"/>
    </x:xf>
    <x:xf numFmtId="201" fontId="8" fillId="25" borderId="3" xfId="0" applyNumberFormat="1" applyFont="1" applyFill="1" applyBorder="1" applyAlignment="1">
      <x:alignment horizontal="center" vertical="center"/>
    </x:xf>
    <x:xf numFmtId="200" fontId="9" fillId="24" borderId="1" xfId="0" applyNumberFormat="1" applyFont="1" applyFill="1" applyBorder="1" applyAlignment="1">
      <x:alignment horizontal="right" vertical="center" wrapText="1"/>
    </x:xf>
    <x:xf numFmtId="200" fontId="8" fillId="25" borderId="3" xfId="0" applyNumberFormat="1" applyFont="1" applyFill="1" applyBorder="1" applyAlignment="1">
      <x:alignment vertical="center"/>
    </x:xf>
    <x:xf numFmtId="200" fontId="8" fillId="25" borderId="3" xfId="0" applyNumberFormat="1" applyFont="1" applyFill="1" applyBorder="1" applyAlignment="1">
      <x:alignment horizontal="right" vertical="center"/>
    </x:xf>
    <x:xf numFmtId="0" fontId="4" fillId="24" borderId="2" xfId="0" applyNumberFormat="1" applyFont="1" applyFill="1" applyBorder="1" applyAlignment="1">
      <x:alignment horizontal="center" vertical="center"/>
    </x:xf>
    <x:xf numFmtId="200" fontId="4" fillId="24" borderId="2" xfId="0" applyNumberFormat="1" applyFont="1" applyFill="1" applyBorder="1" applyAlignment="1">
      <x:alignment horizontal="right" vertical="center"/>
    </x:xf>
    <x:xf numFmtId="0" fontId="4" fillId="24" borderId="2" xfId="0" applyNumberFormat="1" applyFont="1" applyFill="1" applyBorder="1" applyAlignment="1">
      <x:alignment vertical="center"/>
    </x:xf>
    <x:xf numFmtId="0" fontId="9" fillId="24" borderId="2" xfId="0" applyNumberFormat="1" applyFont="1" applyFill="1" applyBorder="1" applyAlignment="1">
      <x:alignment horizontal="center" vertical="center"/>
    </x:xf>
    <x:xf numFmtId="200" fontId="9" fillId="24" borderId="2" xfId="0" applyNumberFormat="1" applyFont="1" applyFill="1" applyBorder="1" applyAlignment="1">
      <x:alignment horizontal="right" vertical="center"/>
    </x:xf>
    <x:xf numFmtId="0" fontId="9" fillId="24" borderId="2" xfId="0" applyNumberFormat="1" applyFont="1" applyFill="1" applyBorder="1" applyAlignment="1">
      <x:alignment vertical="center"/>
    </x:xf>
    <x:xf numFmtId="0" fontId="9" fillId="24" borderId="1" xfId="0" applyNumberFormat="1" applyFont="1" applyFill="1" applyBorder="1" applyAlignment="1">
      <x:alignment horizontal="center" vertical="center"/>
    </x:xf>
    <x:xf numFmtId="200" fontId="9" fillId="24" borderId="1" xfId="0" applyNumberFormat="1" applyFont="1" applyFill="1" applyBorder="1" applyAlignment="1">
      <x:alignment horizontal="right" vertical="center"/>
    </x:xf>
    <x:xf numFmtId="0" fontId="9" fillId="24" borderId="1" xfId="0" applyNumberFormat="1" applyFont="1" applyFill="1" applyBorder="1" applyAlignment="1">
      <x:alignment vertical="center"/>
    </x:xf>
    <x:xf numFmtId="200" fontId="9" fillId="24" borderId="1" xfId="0" applyNumberFormat="1" applyFont="1" applyFill="1" applyBorder="1" applyAlignment="1">
      <x:alignment horizontal="center" vertical="center"/>
    </x:xf>
    <x:xf numFmtId="0" fontId="9" fillId="24" borderId="1" xfId="0" applyNumberFormat="1" applyFont="1" applyFill="1" applyBorder="1" applyAlignment="1">
      <x:alignment horizontal="left" vertical="center"/>
    </x:xf>
    <x:xf numFmtId="202" fontId="9" fillId="24" borderId="1" xfId="0" applyNumberFormat="1" applyFont="1" applyFill="1" applyBorder="1" applyAlignment="1">
      <x:alignment horizontal="center" vertical="center"/>
    </x:xf>
    <x:xf numFmtId="201" fontId="9" fillId="24" borderId="1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3" xfId="0" applyNumberFormat="1" applyFont="1" applyFill="1" applyBorder="1"/>
    <x:xf numFmtId="0" fontId="8" fillId="26" borderId="3" xfId="0" applyNumberFormat="1" applyFont="1" applyFill="1" applyBorder="1" applyAlignment="1">
      <x:alignment vertical="center"/>
    </x:xf>
    <x:xf numFmtId="0" fontId="8" fillId="26" borderId="3" xfId="0" applyNumberFormat="1" applyFont="1" applyFill="1" applyBorder="1" applyAlignment="1">
      <x:alignment horizontal="center" vertical="center"/>
    </x:xf>
    <x:xf numFmtId="0" fontId="8" fillId="26" borderId="3" xfId="0" applyNumberFormat="1" applyFont="1" applyFill="1" applyBorder="1" applyAlignment="1">
      <x:alignment horizontal="right" vertical="center"/>
    </x:xf>
    <x:xf numFmtId="0" fontId="8" fillId="26" borderId="3" xfId="0" applyNumberFormat="1" applyFont="1" applyFill="1" applyBorder="1" applyAlignment="1">
      <x:alignment horizontal="left" vertical="center"/>
    </x:xf>
    <x:xf numFmtId="201" fontId="8" fillId="26" borderId="3" xfId="0" applyNumberFormat="1" applyFont="1" applyFill="1" applyBorder="1" applyAlignment="1">
      <x:alignment horizontal="center" vertical="center"/>
    </x:xf>
    <x:xf numFmtId="200" fontId="8" fillId="26" borderId="3" xfId="0" applyNumberFormat="1" applyFont="1" applyFill="1" applyBorder="1" applyAlignment="1">
      <x:alignment horizontal="right" vertical="center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horizontal="left"/>
    </x:xf>
    <x:xf numFmtId="0" fontId="2" fillId="28" borderId="0" xfId="0" applyNumberFormat="1" applyFont="1" applyFill="1" applyBorder="1" applyAlignment="1">
      <x:alignment horizontal="left" vertic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1" xfId="0" applyNumberFormat="1" applyFont="1" applyFill="1" applyBorder="1"/>
    <x:xf numFmtId="0" fontId="1" fillId="29" borderId="1" xfId="0" applyNumberFormat="1" applyFont="1" applyFill="1" applyBorder="1" applyAlignment="1">
      <x:alignment wrapText="1"/>
    </x:xf>
    <x:xf numFmtId="0" fontId="1" fillId="29" borderId="1" xfId="0" applyNumberFormat="1" applyFont="1" applyFill="1" applyBorder="1" applyAlignment="1">
      <x:alignment horizontal="center" wrapText="1"/>
    </x:xf>
    <x:xf numFmtId="0" fontId="1" fillId="29" borderId="1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1" xfId="0" applyNumberFormat="1" applyFont="1" applyFill="1" applyBorder="1"/>
    <x:xf numFmtId="0" fontId="10" fillId="30" borderId="1" xfId="0" applyNumberFormat="1" applyFont="1" applyFill="1" applyBorder="1" applyAlignment="1">
      <x:alignment wrapText="1"/>
    </x:xf>
    <x:xf numFmtId="0" fontId="10" fillId="30" borderId="1" xfId="0" applyNumberFormat="1" applyFont="1" applyFill="1" applyBorder="1" applyAlignment="1">
      <x:alignment vertical="center" wrapText="1"/>
    </x:xf>
    <x:xf numFmtId="0" fontId="10" fillId="30" borderId="1" xfId="0" applyNumberFormat="1" applyFont="1" applyFill="1" applyBorder="1" applyAlignment="1">
      <x:alignment horizontal="center" vertical="center" wrapText="1"/>
    </x:xf>
    <x:xf numFmtId="0" fontId="10" fillId="30" borderId="1" xfId="0" applyNumberFormat="1" applyFont="1" applyFill="1" applyBorder="1" applyAlignment="1">
      <x:alignment horizontal="right" vertical="center" wrapText="1"/>
    </x:xf>
    <x:xf numFmtId="0" fontId="10" fillId="30" borderId="1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/>
    <x:xf numFmtId="0" fontId="8" fillId="31" borderId="0" xfId="0" applyNumberFormat="1" applyFont="1" applyFill="1" applyBorder="1"/>
    <x:xf numFmtId="0" fontId="8" fillId="31" borderId="3" xfId="0" applyNumberFormat="1" applyFont="1" applyFill="1" applyBorder="1"/>
    <x:xf numFmtId="0" fontId="8" fillId="31" borderId="3" xfId="0" applyNumberFormat="1" applyFont="1" applyFill="1" applyBorder="1" applyAlignment="1">
      <x:alignment vertical="center"/>
    </x:xf>
    <x:xf numFmtId="0" fontId="8" fillId="31" borderId="3" xfId="0" applyNumberFormat="1" applyFont="1" applyFill="1" applyBorder="1" applyAlignment="1">
      <x:alignment horizontal="right" vertical="center"/>
    </x:xf>
    <x:xf numFmtId="0" fontId="8" fillId="31" borderId="3" xfId="0" applyNumberFormat="1" applyFont="1" applyFill="1" applyBorder="1" applyAlignment="1">
      <x:alignment horizontal="center" vertical="center"/>
    </x:xf>
    <x:xf numFmtId="201" fontId="10" fillId="30" borderId="1" xfId="0" applyNumberFormat="1" applyFont="1" applyFill="1" applyBorder="1" applyAlignment="1">
      <x:alignment horizontal="center" vertical="center" wrapText="1"/>
    </x:xf>
    <x:xf numFmtId="201" fontId="8" fillId="31" borderId="3" xfId="0" applyNumberFormat="1" applyFont="1" applyFill="1" applyBorder="1" applyAlignment="1">
      <x:alignment horizontal="center" vertical="center"/>
    </x:xf>
    <x:xf numFmtId="200" fontId="10" fillId="30" borderId="1" xfId="0" applyNumberFormat="1" applyFont="1" applyFill="1" applyBorder="1" applyAlignment="1">
      <x:alignment horizontal="right" vertical="center" wrapText="1"/>
    </x:xf>
    <x:xf numFmtId="200" fontId="8" fillId="31" borderId="3" xfId="0" applyNumberFormat="1" applyFont="1" applyFill="1" applyBorder="1" applyAlignment="1">
      <x:alignment vertical="center"/>
    </x:xf>
    <x:xf numFmtId="200" fontId="8" fillId="31" borderId="3" xfId="0" applyNumberFormat="1" applyFont="1" applyFill="1" applyBorder="1" applyAlignment="1">
      <x:alignment horizontal="right" vertical="center"/>
    </x:xf>
    <x:xf numFmtId="0" fontId="8" fillId="30" borderId="3" xfId="0" applyNumberFormat="1" applyFont="1" applyFill="1" applyBorder="1" applyAlignment="1">
      <x:alignment horizontal="center" vertical="center"/>
    </x:xf>
    <x:xf numFmtId="201" fontId="8" fillId="30" borderId="3" xfId="0" applyNumberFormat="1" applyFont="1" applyFill="1" applyBorder="1" applyAlignment="1">
      <x:alignment horizontal="center" vertical="center"/>
    </x:xf>
    <x:xf numFmtId="200" fontId="8" fillId="30" borderId="3" xfId="0" applyNumberFormat="1" applyFont="1" applyFill="1" applyBorder="1" applyAlignment="1">
      <x:alignment horizontal="right" vertical="center"/>
    </x:xf>
    <x:xf numFmtId="0" fontId="8" fillId="30" borderId="3" xfId="0" applyNumberFormat="1" applyFont="1" applyFill="1" applyBorder="1" applyAlignment="1">
      <x:alignment horizontal="left" vertical="center"/>
    </x:xf>
    <x:xf numFmtId="0" fontId="10" fillId="30" borderId="3" xfId="0" applyNumberFormat="1" applyFont="1" applyFill="1" applyBorder="1" applyAlignment="1">
      <x:alignment horizontal="center" vertical="center"/>
    </x:xf>
    <x:xf numFmtId="201" fontId="10" fillId="30" borderId="3" xfId="0" applyNumberFormat="1" applyFont="1" applyFill="1" applyBorder="1" applyAlignment="1">
      <x:alignment horizontal="center" vertical="center"/>
    </x:xf>
    <x:xf numFmtId="200" fontId="10" fillId="30" borderId="3" xfId="0" applyNumberFormat="1" applyFont="1" applyFill="1" applyBorder="1" applyAlignment="1">
      <x:alignment horizontal="right" vertical="center"/>
    </x:xf>
    <x:xf numFmtId="0" fontId="10" fillId="30" borderId="3" xfId="0" applyNumberFormat="1" applyFont="1" applyFill="1" applyBorder="1" applyAlignment="1">
      <x:alignment horizontal="left" vertical="center"/>
    </x:xf>
    <x:xf numFmtId="0" fontId="10" fillId="30" borderId="1" xfId="0" applyNumberFormat="1" applyFont="1" applyFill="1" applyBorder="1" applyAlignment="1">
      <x:alignment horizontal="center" vertical="center"/>
    </x:xf>
    <x:xf numFmtId="201" fontId="10" fillId="30" borderId="1" xfId="0" applyNumberFormat="1" applyFont="1" applyFill="1" applyBorder="1" applyAlignment="1">
      <x:alignment horizontal="center" vertical="center"/>
    </x:xf>
    <x:xf numFmtId="200" fontId="10" fillId="30" borderId="1" xfId="0" applyNumberFormat="1" applyFont="1" applyFill="1" applyBorder="1" applyAlignment="1">
      <x:alignment horizontal="right" vertical="center"/>
    </x:xf>
    <x:xf numFmtId="0" fontId="10" fillId="30" borderId="1" xfId="0" applyNumberFormat="1" applyFont="1" applyFill="1" applyBorder="1" applyAlignment="1">
      <x:alignment horizontal="left" vertical="center"/>
    </x:xf>
    <x:xf numFmtId="202" fontId="10" fillId="30" borderId="1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8" fillId="32" borderId="3" xfId="0" applyNumberFormat="1" applyFont="1" applyFill="1" applyBorder="1"/>
    <x:xf numFmtId="0" fontId="8" fillId="32" borderId="3" xfId="0" applyNumberFormat="1" applyFont="1" applyFill="1" applyBorder="1" applyAlignment="1">
      <x:alignment vertical="center"/>
    </x:xf>
    <x:xf numFmtId="0" fontId="8" fillId="32" borderId="3" xfId="0" applyNumberFormat="1" applyFont="1" applyFill="1" applyBorder="1" applyAlignment="1">
      <x:alignment horizontal="center" vertical="center"/>
    </x:xf>
    <x:xf numFmtId="0" fontId="8" fillId="32" borderId="3" xfId="0" applyNumberFormat="1" applyFont="1" applyFill="1" applyBorder="1" applyAlignment="1">
      <x:alignment horizontal="right" vertical="center"/>
    </x:xf>
    <x:xf numFmtId="0" fontId="8" fillId="32" borderId="3" xfId="0" applyNumberFormat="1" applyFont="1" applyFill="1" applyBorder="1" applyAlignment="1">
      <x:alignment horizontal="left" vertical="center"/>
    </x:xf>
    <x:xf numFmtId="201" fontId="8" fillId="32" borderId="3" xfId="0" applyNumberFormat="1" applyFont="1" applyFill="1" applyBorder="1" applyAlignment="1">
      <x:alignment horizontal="center" vertical="center"/>
    </x:xf>
    <x:xf numFmtId="200" fontId="8" fillId="32" borderId="3" xfId="0" applyNumberFormat="1" applyFont="1" applyFill="1" applyBorder="1" applyAlignment="1">
      <x:alignment horizontal="right" vertical="center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center"/>
    </x:xf>
    <x:xf numFmtId="0" fontId="1" fillId="33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horizontal="left"/>
    </x:xf>
    <x:xf numFmtId="0" fontId="2" fillId="34" borderId="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1" xfId="0" applyNumberFormat="1" applyFont="1" applyFill="1" applyBorder="1"/>
    <x:xf numFmtId="0" fontId="1" fillId="35" borderId="1" xfId="0" applyNumberFormat="1" applyFont="1" applyFill="1" applyBorder="1" applyAlignment="1">
      <x:alignment wrapText="1"/>
    </x:xf>
    <x:xf numFmtId="0" fontId="1" fillId="35" borderId="1" xfId="0" applyNumberFormat="1" applyFont="1" applyFill="1" applyBorder="1" applyAlignment="1">
      <x:alignment horizontal="center" wrapText="1"/>
    </x:xf>
    <x:xf numFmtId="0" fontId="1" fillId="35" borderId="1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1" xfId="0" applyNumberFormat="1" applyFont="1" applyFill="1" applyBorder="1"/>
    <x:xf numFmtId="0" fontId="11" fillId="36" borderId="1" xfId="0" applyNumberFormat="1" applyFont="1" applyFill="1" applyBorder="1" applyAlignment="1">
      <x:alignment wrapText="1"/>
    </x:xf>
    <x:xf numFmtId="0" fontId="11" fillId="36" borderId="1" xfId="0" applyNumberFormat="1" applyFont="1" applyFill="1" applyBorder="1" applyAlignment="1">
      <x:alignment vertical="center" wrapText="1"/>
    </x:xf>
    <x:xf numFmtId="0" fontId="11" fillId="36" borderId="1" xfId="0" applyNumberFormat="1" applyFont="1" applyFill="1" applyBorder="1" applyAlignment="1">
      <x:alignment horizontal="center" vertical="center" wrapText="1"/>
    </x:xf>
    <x:xf numFmtId="0" fontId="11" fillId="36" borderId="1" xfId="0" applyNumberFormat="1" applyFont="1" applyFill="1" applyBorder="1" applyAlignment="1">
      <x:alignment horizontal="right" vertical="center" wrapText="1"/>
    </x:xf>
    <x:xf numFmtId="0" fontId="11" fillId="36" borderId="1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8" fillId="37" borderId="3" xfId="0" applyNumberFormat="1" applyFont="1" applyFill="1" applyBorder="1"/>
    <x:xf numFmtId="0" fontId="8" fillId="37" borderId="3" xfId="0" applyNumberFormat="1" applyFont="1" applyFill="1" applyBorder="1" applyAlignment="1">
      <x:alignment vertical="center"/>
    </x:xf>
    <x:xf numFmtId="0" fontId="8" fillId="37" borderId="3" xfId="0" applyNumberFormat="1" applyFont="1" applyFill="1" applyBorder="1" applyAlignment="1">
      <x:alignment horizontal="right" vertical="center"/>
    </x:xf>
    <x:xf numFmtId="0" fontId="8" fillId="37" borderId="3" xfId="0" applyNumberFormat="1" applyFont="1" applyFill="1" applyBorder="1" applyAlignment="1">
      <x:alignment horizontal="center" vertical="center"/>
    </x:xf>
    <x:xf numFmtId="201" fontId="11" fillId="36" borderId="1" xfId="0" applyNumberFormat="1" applyFont="1" applyFill="1" applyBorder="1" applyAlignment="1">
      <x:alignment horizontal="center" vertical="center" wrapText="1"/>
    </x:xf>
    <x:xf numFmtId="201" fontId="8" fillId="37" borderId="3" xfId="0" applyNumberFormat="1" applyFont="1" applyFill="1" applyBorder="1" applyAlignment="1">
      <x:alignment horizontal="center" vertical="center"/>
    </x:xf>
    <x:xf numFmtId="200" fontId="11" fillId="36" borderId="1" xfId="0" applyNumberFormat="1" applyFont="1" applyFill="1" applyBorder="1" applyAlignment="1">
      <x:alignment horizontal="right" vertical="center" wrapText="1"/>
    </x:xf>
    <x:xf numFmtId="200" fontId="8" fillId="37" borderId="3" xfId="0" applyNumberFormat="1" applyFont="1" applyFill="1" applyBorder="1" applyAlignment="1">
      <x:alignment vertical="center"/>
    </x:xf>
    <x:xf numFmtId="200" fontId="8" fillId="37" borderId="3" xfId="0" applyNumberFormat="1" applyFont="1" applyFill="1" applyBorder="1" applyAlignment="1">
      <x:alignment horizontal="right" vertical="center"/>
    </x:xf>
    <x:xf numFmtId="0" fontId="8" fillId="36" borderId="3" xfId="0" applyNumberFormat="1" applyFont="1" applyFill="1" applyBorder="1" applyAlignment="1">
      <x:alignment horizontal="center" vertical="center"/>
    </x:xf>
    <x:xf numFmtId="201" fontId="8" fillId="36" borderId="3" xfId="0" applyNumberFormat="1" applyFont="1" applyFill="1" applyBorder="1" applyAlignment="1">
      <x:alignment horizontal="center" vertical="center"/>
    </x:xf>
    <x:xf numFmtId="200" fontId="8" fillId="36" borderId="3" xfId="0" applyNumberFormat="1" applyFont="1" applyFill="1" applyBorder="1" applyAlignment="1">
      <x:alignment horizontal="right" vertical="center"/>
    </x:xf>
    <x:xf numFmtId="0" fontId="8" fillId="36" borderId="3" xfId="0" applyNumberFormat="1" applyFont="1" applyFill="1" applyBorder="1" applyAlignment="1">
      <x:alignment horizontal="left" vertical="center"/>
    </x:xf>
    <x:xf numFmtId="0" fontId="11" fillId="36" borderId="3" xfId="0" applyNumberFormat="1" applyFont="1" applyFill="1" applyBorder="1" applyAlignment="1">
      <x:alignment horizontal="center" vertical="center"/>
    </x:xf>
    <x:xf numFmtId="201" fontId="11" fillId="36" borderId="3" xfId="0" applyNumberFormat="1" applyFont="1" applyFill="1" applyBorder="1" applyAlignment="1">
      <x:alignment horizontal="center" vertical="center"/>
    </x:xf>
    <x:xf numFmtId="200" fontId="11" fillId="36" borderId="3" xfId="0" applyNumberFormat="1" applyFont="1" applyFill="1" applyBorder="1" applyAlignment="1">
      <x:alignment horizontal="right" vertical="center"/>
    </x:xf>
    <x:xf numFmtId="0" fontId="11" fillId="36" borderId="3" xfId="0" applyNumberFormat="1" applyFont="1" applyFill="1" applyBorder="1" applyAlignment="1">
      <x:alignment horizontal="left" vertical="center"/>
    </x:xf>
    <x:xf numFmtId="0" fontId="11" fillId="36" borderId="1" xfId="0" applyNumberFormat="1" applyFont="1" applyFill="1" applyBorder="1" applyAlignment="1">
      <x:alignment horizontal="center" vertical="center"/>
    </x:xf>
    <x:xf numFmtId="201" fontId="11" fillId="36" borderId="1" xfId="0" applyNumberFormat="1" applyFont="1" applyFill="1" applyBorder="1" applyAlignment="1">
      <x:alignment horizontal="center" vertical="center"/>
    </x:xf>
    <x:xf numFmtId="200" fontId="11" fillId="36" borderId="1" xfId="0" applyNumberFormat="1" applyFont="1" applyFill="1" applyBorder="1" applyAlignment="1">
      <x:alignment horizontal="right" vertical="center"/>
    </x:xf>
    <x:xf numFmtId="0" fontId="11" fillId="36" borderId="1" xfId="0" applyNumberFormat="1" applyFont="1" applyFill="1" applyBorder="1" applyAlignment="1">
      <x:alignment horizontal="left" vertical="center"/>
    </x:xf>
    <x:xf numFmtId="202" fontId="11" fillId="36" borderId="1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3" xfId="0" applyNumberFormat="1" applyFont="1" applyFill="1" applyBorder="1"/>
    <x:xf numFmtId="0" fontId="8" fillId="38" borderId="3" xfId="0" applyNumberFormat="1" applyFont="1" applyFill="1" applyBorder="1" applyAlignment="1">
      <x:alignment vertical="center"/>
    </x:xf>
    <x:xf numFmtId="0" fontId="8" fillId="38" borderId="3" xfId="0" applyNumberFormat="1" applyFont="1" applyFill="1" applyBorder="1" applyAlignment="1">
      <x:alignment horizontal="center" vertical="center"/>
    </x:xf>
    <x:xf numFmtId="0" fontId="8" fillId="38" borderId="3" xfId="0" applyNumberFormat="1" applyFont="1" applyFill="1" applyBorder="1" applyAlignment="1">
      <x:alignment horizontal="right" vertical="center"/>
    </x:xf>
    <x:xf numFmtId="0" fontId="8" fillId="38" borderId="3" xfId="0" applyNumberFormat="1" applyFont="1" applyFill="1" applyBorder="1" applyAlignment="1">
      <x:alignment horizontal="left" vertical="center"/>
    </x:xf>
    <x:xf numFmtId="201" fontId="8" fillId="38" borderId="3" xfId="0" applyNumberFormat="1" applyFont="1" applyFill="1" applyBorder="1" applyAlignment="1">
      <x:alignment horizontal="center" vertical="center"/>
    </x:xf>
    <x:xf numFmtId="200" fontId="8" fillId="38" borderId="3" xfId="0" applyNumberFormat="1" applyFont="1" applyFill="1" applyBorder="1" applyAlignment="1">
      <x:alignment horizontal="right" vertic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2" fillId="40" borderId="0" xfId="0" applyNumberFormat="1" applyFont="1" applyFill="1" applyBorder="1" applyAlignment="1">
      <x:alignment horizontal="left" vertical="center"/>
    </x:xf>
    <x:xf numFmtId="0" fontId="1" fillId="41" borderId="1" xfId="0" applyNumberFormat="1" applyFont="1" applyFill="1" applyBorder="1" applyAlignment="1">
      <x:alignment horizontal="center" vertical="center" wrapText="1"/>
    </x:xf>
    <x:xf numFmtId="0" fontId="3" fillId="42" borderId="1" xfId="0" applyNumberFormat="1" applyFont="1" applyFill="1" applyBorder="1" applyAlignment="1">
      <x:alignment horizontal="center" vertical="center" wrapText="1"/>
    </x:xf>
    <x:xf numFmtId="0" fontId="3" fillId="42" borderId="1" xfId="0" applyNumberFormat="1" applyFont="1" applyFill="1" applyBorder="1" applyAlignment="1">
      <x:alignment horizontal="left" vertical="center" wrapText="1"/>
    </x:xf>
    <x:xf numFmtId="201" fontId="3" fillId="42" borderId="1" xfId="0" applyNumberFormat="1" applyFont="1" applyFill="1" applyBorder="1" applyAlignment="1">
      <x:alignment horizontal="center" vertical="center" wrapText="1"/>
    </x:xf>
    <x:xf numFmtId="200" fontId="3" fillId="42" borderId="1" xfId="0" applyNumberFormat="1" applyFont="1" applyFill="1" applyBorder="1" applyAlignment="1">
      <x:alignment horizontal="right" vertical="center" wrapText="1"/>
    </x:xf>
    <x:xf numFmtId="0" fontId="12" fillId="42" borderId="1" xfId="0" applyNumberFormat="1" applyFont="1" applyFill="1" applyBorder="1" applyAlignment="1">
      <x:alignment horizontal="center" vertical="center" wrapText="1"/>
    </x:xf>
    <x:xf numFmtId="0" fontId="12" fillId="42" borderId="1" xfId="0" applyNumberFormat="1" applyFont="1" applyFill="1" applyBorder="1" applyAlignment="1">
      <x:alignment horizontal="left" vertical="center" wrapText="1"/>
    </x:xf>
    <x:xf numFmtId="201" fontId="12" fillId="42" borderId="1" xfId="0" applyNumberFormat="1" applyFont="1" applyFill="1" applyBorder="1" applyAlignment="1">
      <x:alignment horizontal="center" vertical="center" wrapText="1"/>
    </x:xf>
    <x:xf numFmtId="200" fontId="12" fillId="42" borderId="1" xfId="0" applyNumberFormat="1" applyFont="1" applyFill="1" applyBorder="1" applyAlignment="1">
      <x:alignment horizontal="right" vertical="center" wrapText="1"/>
    </x:xf>
    <x:xf numFmtId="0" fontId="8" fillId="43" borderId="3" xfId="0" applyNumberFormat="1" applyFont="1" applyFill="1" applyBorder="1" applyAlignment="1">
      <x:alignment horizontal="right" vertical="center"/>
    </x:xf>
    <x:xf numFmtId="201" fontId="8" fillId="43" borderId="3" xfId="0" applyNumberFormat="1" applyFont="1" applyFill="1" applyBorder="1" applyAlignment="1">
      <x:alignment horizontal="center" vertical="center"/>
    </x:xf>
    <x:xf numFmtId="200" fontId="8" fillId="43" borderId="3" xfId="0" applyNumberFormat="1" applyFont="1" applyFill="1" applyBorder="1" applyAlignment="1">
      <x:alignment vertical="center"/>
    </x:xf>
    <x:xf numFmtId="200" fontId="8" fillId="43" borderId="3" xfId="0" applyNumberFormat="1" applyFont="1" applyFill="1" applyBorder="1" applyAlignment="1">
      <x:alignment horizontal="right" vertical="center"/>
    </x:xf>
    <x:xf numFmtId="0" fontId="8" fillId="43" borderId="3" xfId="0" applyNumberFormat="1" applyFont="1" applyFill="1" applyBorder="1" applyAlignment="1">
      <x:alignment vertical="center"/>
    </x:xf>
    <x:xf numFmtId="202" fontId="3" fillId="42" borderId="1" xfId="0" applyNumberFormat="1" applyFont="1" applyFill="1" applyBorder="1" applyAlignment="1">
      <x:alignment horizontal="center" vertical="center"/>
    </x:xf>
    <x:xf numFmtId="201" fontId="3" fillId="42" borderId="1" xfId="0" applyNumberFormat="1" applyFont="1" applyFill="1" applyBorder="1" applyAlignment="1">
      <x:alignment horizontal="center" vertical="center"/>
    </x:xf>
    <x:xf numFmtId="200" fontId="3" fillId="42" borderId="1" xfId="0" applyNumberFormat="1" applyFont="1" applyFill="1" applyBorder="1" applyAlignment="1">
      <x:alignment horizontal="right" vertical="center"/>
    </x:xf>
    <x:xf numFmtId="0" fontId="3" fillId="42" borderId="1" xfId="0" applyNumberFormat="1" applyFont="1" applyFill="1" applyBorder="1" applyAlignment="1">
      <x:alignment horizontal="left" vertical="center"/>
    </x:xf>
    <x:xf numFmtId="202" fontId="12" fillId="42" borderId="1" xfId="0" applyNumberFormat="1" applyFont="1" applyFill="1" applyBorder="1" applyAlignment="1">
      <x:alignment horizontal="center" vertical="center"/>
    </x:xf>
    <x:xf numFmtId="201" fontId="12" fillId="42" borderId="1" xfId="0" applyNumberFormat="1" applyFont="1" applyFill="1" applyBorder="1" applyAlignment="1">
      <x:alignment horizontal="center" vertical="center"/>
    </x:xf>
    <x:xf numFmtId="200" fontId="12" fillId="42" borderId="1" xfId="0" applyNumberFormat="1" applyFont="1" applyFill="1" applyBorder="1" applyAlignment="1">
      <x:alignment horizontal="right" vertical="center"/>
    </x:xf>
    <x:xf numFmtId="0" fontId="12" fillId="42" borderId="1" xfId="0" applyNumberFormat="1" applyFont="1" applyFill="1" applyBorder="1" applyAlignment="1">
      <x:alignment horizontal="left" vertical="center"/>
    </x:xf>
    <x:xf numFmtId="0" fontId="8" fillId="44" borderId="3" xfId="0" applyNumberFormat="1" applyFont="1" applyFill="1" applyBorder="1" applyAlignment="1">
      <x:alignment horizontal="center" vertical="center"/>
    </x:xf>
    <x:xf numFmtId="201" fontId="8" fillId="44" borderId="3" xfId="0" applyNumberFormat="1" applyFont="1" applyFill="1" applyBorder="1" applyAlignment="1">
      <x:alignment horizontal="center" vertical="center"/>
    </x:xf>
    <x:xf numFmtId="200" fontId="8" fillId="44" borderId="3" xfId="0" applyNumberFormat="1" applyFont="1" applyFill="1" applyBorder="1" applyAlignment="1">
      <x:alignment horizontal="right" vertical="center"/>
    </x:xf>
    <x:xf numFmtId="0" fontId="8" fillId="44" borderId="3" xfId="0" applyNumberFormat="1" applyFont="1" applyFill="1" applyBorder="1" applyAlignment="1">
      <x:alignment horizontal="left" vertical="center"/>
    </x:xf>
    <x:xf numFmtId="0" fontId="0" fillId="45" borderId="0" xfId="0" applyNumberFormat="1" applyFont="1" applyFill="1" applyBorder="1"/>
    <x:xf numFmtId="0" fontId="13" fillId="45" borderId="0" xfId="0" applyNumberFormat="1" applyFont="1" applyFill="1" applyBorder="1"/>
    <x:xf numFmtId="0" fontId="13" fillId="45" borderId="0" xfId="0" applyNumberFormat="1" applyFont="1" applyFill="1" applyBorder="1" applyAlignment="1">
      <x:alignment horizontal="center"/>
    </x:xf>
    <x:xf numFmtId="0" fontId="13" fillId="45" borderId="0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horizontal="left"/>
    </x:xf>
    <x:xf numFmtId="0" fontId="14" fillId="46" borderId="0" xfId="0" applyNumberFormat="1" applyFont="1" applyFill="1" applyBorder="1" applyAlignment="1">
      <x:alignment horizontal="left" vertical="center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4" xfId="0" applyNumberFormat="1" applyFont="1" applyFill="1" applyBorder="1"/>
    <x:xf numFmtId="0" fontId="1" fillId="47" borderId="4" xfId="0" applyNumberFormat="1" applyFont="1" applyFill="1" applyBorder="1" applyAlignment="1">
      <x:alignment wrapText="1"/>
    </x:xf>
    <x:xf numFmtId="0" fontId="1" fillId="47" borderId="4" xfId="0" applyNumberFormat="1" applyFont="1" applyFill="1" applyBorder="1" applyAlignment="1">
      <x:alignment horizontal="center" wrapText="1"/>
    </x:xf>
    <x:xf numFmtId="0" fontId="1" fillId="47" borderId="4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vertical="center" wrapText="1"/>
    </x:xf>
    <x:xf numFmtId="0" fontId="16" fillId="46" borderId="0" xfId="0" applyNumberFormat="1" applyFont="1" applyFill="1" applyBorder="1"/>
    <x:xf numFmtId="0" fontId="16" fillId="46" borderId="6" xfId="0" applyNumberFormat="1" applyFont="1" applyFill="1" applyBorder="1"/>
    <x:xf numFmtId="0" fontId="16" fillId="46" borderId="6" xfId="0" applyNumberFormat="1" applyFont="1" applyFill="1" applyBorder="1" applyAlignment="1">
      <x:alignment vertical="center"/>
    </x:xf>
    <x:xf numFmtId="0" fontId="15" fillId="0" borderId="5" xfId="0" applyNumberFormat="1" applyFont="1" applyFill="1" applyBorder="1" applyAlignment="1">
      <x:alignment horizontal="center" vertical="center" wrapText="1"/>
    </x:xf>
    <x:xf numFmtId="0" fontId="16" fillId="46" borderId="6" xfId="0" applyNumberFormat="1" applyFont="1" applyFill="1" applyBorder="1" applyAlignment="1">
      <x:alignment horizontal="center" vertical="center"/>
    </x:xf>
    <x:xf numFmtId="0" fontId="1" fillId="47" borderId="4" xfId="0" applyNumberFormat="1" applyFont="1" applyFill="1" applyBorder="1" applyAlignment="1">
      <x:alignment horizontal="right" vertical="center" wrapText="1"/>
    </x:xf>
    <x:xf numFmtId="0" fontId="15" fillId="0" borderId="5" xfId="0" applyNumberFormat="1" applyFont="1" applyFill="1" applyBorder="1" applyAlignment="1">
      <x:alignment horizontal="right" vertical="center" wrapText="1"/>
    </x:xf>
    <x:xf numFmtId="0" fontId="16" fillId="46" borderId="6" xfId="0" applyNumberFormat="1" applyFont="1" applyFill="1" applyBorder="1" applyAlignment="1">
      <x:alignment horizontal="right" vertical="center"/>
    </x:xf>
    <x:xf numFmtId="201" fontId="15" fillId="0" borderId="5" xfId="0" applyNumberFormat="1" applyFont="1" applyFill="1" applyBorder="1" applyAlignment="1">
      <x:alignment horizontal="right" vertical="center" wrapText="1"/>
    </x:xf>
    <x:xf numFmtId="201" fontId="16" fillId="46" borderId="6" xfId="0" applyNumberFormat="1" applyFont="1" applyFill="1" applyBorder="1" applyAlignment="1">
      <x:alignment horizontal="right" vertical="center"/>
    </x:xf>
    <x:xf numFmtId="200" fontId="15" fillId="0" borderId="5" xfId="0" applyNumberFormat="1" applyFont="1" applyFill="1" applyBorder="1" applyAlignment="1">
      <x:alignment horizontal="right" vertical="center" wrapText="1"/>
    </x:xf>
    <x:xf numFmtId="200" fontId="16" fillId="46" borderId="6" xfId="0" applyNumberFormat="1" applyFont="1" applyFill="1" applyBorder="1" applyAlignment="1">
      <x:alignment horizontal="right" vertical="center"/>
    </x:xf>
    <x:xf numFmtId="0" fontId="17" fillId="45" borderId="0" xfId="0" applyNumberFormat="1" applyFont="1" applyFill="1" applyBorder="1" applyAlignment="1">
      <x:alignment horizontal="center" vertical="center"/>
    </x:xf>
    <x:xf numFmtId="0" fontId="18" fillId="46" borderId="0" xfId="0" applyNumberFormat="1" applyFont="1" applyFill="1" applyBorder="1" applyAlignment="1">
      <x:alignment horizontal="left" vertical="center"/>
    </x:xf>
    <x:xf numFmtId="0" fontId="19" fillId="47" borderId="4" xfId="0" applyNumberFormat="1" applyFont="1" applyFill="1" applyBorder="1" applyAlignment="1">
      <x:alignment horizontal="center" vertical="center" wrapText="1"/>
    </x:xf>
    <x:xf numFmtId="0" fontId="19" fillId="47" borderId="4" xfId="0" applyNumberFormat="1" applyFont="1" applyFill="1" applyBorder="1" applyAlignment="1">
      <x:alignment horizontal="right" vertical="center" wrapText="1"/>
    </x:xf>
    <x:xf numFmtId="0" fontId="20" fillId="0" borderId="5" xfId="0" applyNumberFormat="1" applyFont="1" applyFill="1" applyBorder="1" applyAlignment="1">
      <x:alignment horizontal="center" vertical="center" wrapText="1"/>
    </x:xf>
    <x:xf numFmtId="0" fontId="20" fillId="0" borderId="5" xfId="0" applyNumberFormat="1" applyFont="1" applyFill="1" applyBorder="1" applyAlignment="1">
      <x:alignment vertical="center" wrapText="1"/>
    </x:xf>
    <x:xf numFmtId="201" fontId="20" fillId="0" borderId="5" xfId="0" applyNumberFormat="1" applyFont="1" applyFill="1" applyBorder="1" applyAlignment="1">
      <x:alignment horizontal="right" vertical="center" wrapText="1"/>
    </x:xf>
    <x:xf numFmtId="200" fontId="20" fillId="0" borderId="5" xfId="0" applyNumberFormat="1" applyFont="1" applyFill="1" applyBorder="1" applyAlignment="1">
      <x:alignment horizontal="right" vertical="center" wrapText="1"/>
    </x:xf>
    <x:xf numFmtId="0" fontId="21" fillId="46" borderId="6" xfId="0" applyNumberFormat="1" applyFont="1" applyFill="1" applyBorder="1" applyAlignment="1">
      <x:alignment horizontal="center" vertical="center"/>
    </x:xf>
    <x:xf numFmtId="0" fontId="21" fillId="46" borderId="6" xfId="0" applyNumberFormat="1" applyFont="1" applyFill="1" applyBorder="1" applyAlignment="1">
      <x:alignment vertical="center"/>
    </x:xf>
    <x:xf numFmtId="201" fontId="21" fillId="46" borderId="6" xfId="0" applyNumberFormat="1" applyFont="1" applyFill="1" applyBorder="1" applyAlignment="1">
      <x:alignment horizontal="right" vertical="center"/>
    </x:xf>
    <x:xf numFmtId="200" fontId="21" fillId="46" borderId="6" xfId="0" applyNumberFormat="1" applyFont="1" applyFill="1" applyBorder="1" applyAlignment="1">
      <x:alignment horizontal="right" vertical="center"/>
    </x:xf>
    <x:xf numFmtId="202" fontId="8" fillId="6" borderId="3" xfId="0" applyNumberFormat="1" applyFont="1" applyFill="1" applyBorder="1" applyAlignment="1">
      <x:alignment horizontal="center" vertical="center"/>
    </x:xf>
    <x:xf numFmtId="201" fontId="8" fillId="6" borderId="3" xfId="0" applyNumberFormat="1" applyFont="1" applyFill="1" applyBorder="1" applyAlignment="1">
      <x:alignment horizontal="center" vertical="center"/>
    </x:xf>
    <x:xf numFmtId="200" fontId="8" fillId="6" borderId="3" xfId="0" applyNumberFormat="1" applyFont="1" applyFill="1" applyBorder="1" applyAlignment="1">
      <x:alignment horizontal="right" vertical="center"/>
    </x:xf>
    <x:xf numFmtId="204" fontId="8" fillId="6" borderId="3" xfId="0" applyNumberFormat="1" applyFont="1" applyFill="1" applyBorder="1" applyAlignment="1">
      <x:alignment horizontal="left" vertical="center"/>
    </x:xf>
    <x:xf numFmtId="202" fontId="8" fillId="48" borderId="3" xfId="0" applyNumberFormat="1" applyFont="1" applyFill="1" applyBorder="1" applyAlignment="1">
      <x:alignment horizontal="center" vertical="center"/>
    </x:xf>
    <x:xf numFmtId="201" fontId="8" fillId="48" borderId="3" xfId="0" applyNumberFormat="1" applyFont="1" applyFill="1" applyBorder="1" applyAlignment="1">
      <x:alignment horizontal="center" vertical="center"/>
    </x:xf>
    <x:xf numFmtId="200" fontId="8" fillId="48" borderId="3" xfId="0" applyNumberFormat="1" applyFont="1" applyFill="1" applyBorder="1" applyAlignment="1">
      <x:alignment horizontal="right" vertical="center"/>
    </x:xf>
    <x:xf numFmtId="204" fontId="8" fillId="48" borderId="3" xfId="0" applyNumberFormat="1" applyFont="1" applyFill="1" applyBorder="1" applyAlignment="1">
      <x:alignment horizontal="left" vertical="center"/>
    </x:xf>
    <x:xf numFmtId="202" fontId="22" fillId="48" borderId="3" xfId="0" applyNumberFormat="1" applyFont="1" applyFill="1" applyBorder="1" applyAlignment="1">
      <x:alignment horizontal="center" vertical="center"/>
    </x:xf>
    <x:xf numFmtId="201" fontId="22" fillId="48" borderId="3" xfId="0" applyNumberFormat="1" applyFont="1" applyFill="1" applyBorder="1" applyAlignment="1">
      <x:alignment horizontal="center" vertical="center"/>
    </x:xf>
    <x:xf numFmtId="200" fontId="22" fillId="48" borderId="3" xfId="0" applyNumberFormat="1" applyFont="1" applyFill="1" applyBorder="1" applyAlignment="1">
      <x:alignment horizontal="right" vertical="center"/>
    </x:xf>
    <x:xf numFmtId="204" fontId="22" fillId="48" borderId="3" xfId="0" applyNumberFormat="1" applyFont="1" applyFill="1" applyBorder="1" applyAlignment="1">
      <x:alignment horizontal="left" vertical="center"/>
    </x:xf>
    <x:xf numFmtId="202" fontId="22" fillId="48" borderId="4" xfId="0" applyNumberFormat="1" applyFont="1" applyFill="1" applyBorder="1" applyAlignment="1">
      <x:alignment horizontal="center" vertical="center"/>
    </x:xf>
    <x:xf numFmtId="201" fontId="22" fillId="48" borderId="4" xfId="0" applyNumberFormat="1" applyFont="1" applyFill="1" applyBorder="1" applyAlignment="1">
      <x:alignment horizontal="center" vertical="center"/>
    </x:xf>
    <x:xf numFmtId="200" fontId="22" fillId="48" borderId="4" xfId="0" applyNumberFormat="1" applyFont="1" applyFill="1" applyBorder="1" applyAlignment="1">
      <x:alignment horizontal="right" vertical="center"/>
    </x:xf>
    <x:xf numFmtId="204" fontId="22" fillId="48" borderId="4" xfId="0" applyNumberFormat="1" applyFont="1" applyFill="1" applyBorder="1" applyAlignment="1">
      <x:alignment horizontal="left" vertical="center"/>
    </x:xf>
    <x:xf numFmtId="0" fontId="0" fillId="49" borderId="0" xfId="0" applyNumberFormat="1" applyFont="1" applyFill="1" applyBorder="1"/>
    <x:xf numFmtId="0" fontId="21" fillId="49" borderId="0" xfId="0" applyNumberFormat="1" applyFont="1" applyFill="1" applyBorder="1"/>
    <x:xf numFmtId="0" fontId="21" fillId="49" borderId="7" xfId="0" applyNumberFormat="1" applyFont="1" applyFill="1" applyBorder="1"/>
    <x:xf numFmtId="0" fontId="21" fillId="49" borderId="7" xfId="0" applyNumberFormat="1" applyFont="1" applyFill="1" applyBorder="1" applyAlignment="1">
      <x:alignment vertical="center"/>
    </x:xf>
    <x:xf numFmtId="0" fontId="21" fillId="49" borderId="7" xfId="0" applyNumberFormat="1" applyFont="1" applyFill="1" applyBorder="1" applyAlignment="1">
      <x:alignment horizontal="center" vertical="center"/>
    </x:xf>
    <x:xf numFmtId="0" fontId="21" fillId="49" borderId="7" xfId="0" applyNumberFormat="1" applyFont="1" applyFill="1" applyBorder="1" applyAlignment="1">
      <x:alignment horizontal="right" vertical="center"/>
    </x:xf>
    <x:xf numFmtId="0" fontId="21" fillId="49" borderId="7" xfId="0" applyNumberFormat="1" applyFont="1" applyFill="1" applyBorder="1" applyAlignment="1">
      <x:alignment horizontal="left" vertical="center"/>
    </x:xf>
    <x:xf numFmtId="201" fontId="21" fillId="49" borderId="7" xfId="0" applyNumberFormat="1" applyFont="1" applyFill="1" applyBorder="1" applyAlignment="1">
      <x:alignment horizontal="center" vertical="center"/>
    </x:xf>
    <x:xf numFmtId="200" fontId="21" fillId="49" borderId="7" xfId="0" applyNumberFormat="1" applyFont="1" applyFill="1" applyBorder="1" applyAlignment="1">
      <x:alignment horizontal="right" vertical="center"/>
    </x:xf>
    <x:xf numFmtId="0" fontId="0" fillId="50" borderId="0" xfId="0" applyNumberFormat="1" applyFont="1" applyFill="1" applyBorder="1"/>
    <x:xf numFmtId="0" fontId="17" fillId="50" borderId="0" xfId="0" applyNumberFormat="1" applyFont="1" applyFill="1" applyBorder="1"/>
    <x:xf numFmtId="0" fontId="17" fillId="50" borderId="0" xfId="0" applyNumberFormat="1" applyFont="1" applyFill="1" applyBorder="1" applyAlignment="1">
      <x:alignment horizontal="center"/>
    </x:xf>
    <x:xf numFmtId="0" fontId="17" fillId="50" borderId="0" xfId="0" applyNumberFormat="1" applyFont="1" applyFill="1" applyBorder="1" applyAlignment="1">
      <x:alignment horizontal="center" vertical="center"/>
    </x:xf>
    <x:xf numFmtId="0" fontId="0" fillId="51" borderId="0" xfId="0" applyNumberFormat="1" applyFont="1" applyFill="1" applyBorder="1"/>
    <x:xf numFmtId="0" fontId="18" fillId="51" borderId="0" xfId="0" applyNumberFormat="1" applyFont="1" applyFill="1" applyBorder="1"/>
    <x:xf numFmtId="0" fontId="18" fillId="51" borderId="0" xfId="0" applyNumberFormat="1" applyFont="1" applyFill="1" applyBorder="1" applyAlignment="1">
      <x:alignment horizontal="left"/>
    </x:xf>
    <x:xf numFmtId="0" fontId="18" fillId="51" borderId="0" xfId="0" applyNumberFormat="1" applyFont="1" applyFill="1" applyBorder="1" applyAlignment="1">
      <x:alignment horizontal="left" vertical="center"/>
    </x:xf>
    <x:xf numFmtId="0" fontId="0" fillId="52" borderId="0" xfId="0" applyNumberFormat="1" applyFont="1" applyFill="1" applyBorder="1"/>
    <x:xf numFmtId="0" fontId="19" fillId="52" borderId="0" xfId="0" applyNumberFormat="1" applyFont="1" applyFill="1" applyBorder="1"/>
    <x:xf numFmtId="0" fontId="19" fillId="52" borderId="4" xfId="0" applyNumberFormat="1" applyFont="1" applyFill="1" applyBorder="1"/>
    <x:xf numFmtId="0" fontId="19" fillId="52" borderId="4" xfId="0" applyNumberFormat="1" applyFont="1" applyFill="1" applyBorder="1" applyAlignment="1">
      <x:alignment wrapText="1"/>
    </x:xf>
    <x:xf numFmtId="0" fontId="19" fillId="52" borderId="4" xfId="0" applyNumberFormat="1" applyFont="1" applyFill="1" applyBorder="1" applyAlignment="1">
      <x:alignment horizontal="center" wrapText="1"/>
    </x:xf>
    <x:xf numFmtId="0" fontId="19" fillId="52" borderId="4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5" xfId="0" applyNumberFormat="1" applyFont="1" applyFill="1" applyBorder="1"/>
    <x:xf numFmtId="0" fontId="20" fillId="0" borderId="5" xfId="0" applyNumberFormat="1" applyFont="1" applyFill="1" applyBorder="1" applyAlignment="1">
      <x:alignment wrapText="1"/>
    </x:xf>
    <x:xf numFmtId="0" fontId="21" fillId="51" borderId="0" xfId="0" applyNumberFormat="1" applyFont="1" applyFill="1" applyBorder="1"/>
    <x:xf numFmtId="0" fontId="21" fillId="51" borderId="6" xfId="0" applyNumberFormat="1" applyFont="1" applyFill="1" applyBorder="1"/>
    <x:xf numFmtId="0" fontId="21" fillId="51" borderId="6" xfId="0" applyNumberFormat="1" applyFont="1" applyFill="1" applyBorder="1" applyAlignment="1">
      <x:alignment vertical="center"/>
    </x:xf>
    <x:xf numFmtId="0" fontId="21" fillId="51" borderId="6" xfId="0" applyNumberFormat="1" applyFont="1" applyFill="1" applyBorder="1" applyAlignment="1">
      <x:alignment horizontal="center" vertical="center"/>
    </x:xf>
    <x:xf numFmtId="0" fontId="19" fillId="52" borderId="4" xfId="0" applyNumberFormat="1" applyFont="1" applyFill="1" applyBorder="1" applyAlignment="1">
      <x:alignment horizontal="right" vertical="center" wrapText="1"/>
    </x:xf>
    <x:xf numFmtId="0" fontId="20" fillId="0" borderId="5" xfId="0" applyNumberFormat="1" applyFont="1" applyFill="1" applyBorder="1" applyAlignment="1">
      <x:alignment horizontal="right" vertical="center" wrapText="1"/>
    </x:xf>
    <x:xf numFmtId="0" fontId="21" fillId="51" borderId="6" xfId="0" applyNumberFormat="1" applyFont="1" applyFill="1" applyBorder="1" applyAlignment="1">
      <x:alignment horizontal="right" vertical="center"/>
    </x:xf>
    <x:xf numFmtId="201" fontId="21" fillId="51" borderId="6" xfId="0" applyNumberFormat="1" applyFont="1" applyFill="1" applyBorder="1" applyAlignment="1">
      <x:alignment horizontal="right" vertical="center"/>
    </x:xf>
    <x:xf numFmtId="200" fontId="21" fillId="51" borderId="6" xfId="0" applyNumberFormat="1" applyFont="1" applyFill="1" applyBorder="1" applyAlignment="1">
      <x:alignment horizontal="right" vertical="center"/>
    </x:xf>
    <x:xf numFmtId="0" fontId="21" fillId="53" borderId="7" xfId="0" applyNumberFormat="1" applyFont="1" applyFill="1" applyBorder="1" applyAlignment="1">
      <x:alignment horizontal="center" vertical="center"/>
    </x:xf>
    <x:xf numFmtId="201" fontId="21" fillId="53" borderId="7" xfId="0" applyNumberFormat="1" applyFont="1" applyFill="1" applyBorder="1" applyAlignment="1">
      <x:alignment horizontal="center" vertical="center"/>
    </x:xf>
    <x:xf numFmtId="200" fontId="21" fillId="53" borderId="7" xfId="0" applyNumberFormat="1" applyFont="1" applyFill="1" applyBorder="1" applyAlignment="1">
      <x:alignment horizontal="right" vertical="center"/>
    </x:xf>
    <x:xf numFmtId="0" fontId="21" fillId="53" borderId="7" xfId="0" applyNumberFormat="1" applyFont="1" applyFill="1" applyBorder="1" applyAlignment="1">
      <x:alignment horizontal="left" vertical="center"/>
    </x:xf>
    <x:xf numFmtId="0" fontId="23" fillId="53" borderId="7" xfId="0" applyNumberFormat="1" applyFont="1" applyFill="1" applyBorder="1" applyAlignment="1">
      <x:alignment horizontal="center" vertical="center"/>
    </x:xf>
    <x:xf numFmtId="201" fontId="23" fillId="53" borderId="7" xfId="0" applyNumberFormat="1" applyFont="1" applyFill="1" applyBorder="1" applyAlignment="1">
      <x:alignment horizontal="center" vertical="center"/>
    </x:xf>
    <x:xf numFmtId="200" fontId="23" fillId="53" borderId="7" xfId="0" applyNumberFormat="1" applyFont="1" applyFill="1" applyBorder="1" applyAlignment="1">
      <x:alignment horizontal="right" vertical="center"/>
    </x:xf>
    <x:xf numFmtId="0" fontId="23" fillId="53" borderId="7" xfId="0" applyNumberFormat="1" applyFont="1" applyFill="1" applyBorder="1" applyAlignment="1">
      <x:alignment horizontal="left" vertical="center"/>
    </x:xf>
    <x:xf numFmtId="0" fontId="23" fillId="53" borderId="4" xfId="0" applyNumberFormat="1" applyFont="1" applyFill="1" applyBorder="1" applyAlignment="1">
      <x:alignment horizontal="center" vertical="center"/>
    </x:xf>
    <x:xf numFmtId="201" fontId="23" fillId="53" borderId="4" xfId="0" applyNumberFormat="1" applyFont="1" applyFill="1" applyBorder="1" applyAlignment="1">
      <x:alignment horizontal="center" vertical="center"/>
    </x:xf>
    <x:xf numFmtId="200" fontId="23" fillId="53" borderId="4" xfId="0" applyNumberFormat="1" applyFont="1" applyFill="1" applyBorder="1" applyAlignment="1">
      <x:alignment horizontal="right" vertical="center"/>
    </x:xf>
    <x:xf numFmtId="0" fontId="23" fillId="53" borderId="4" xfId="0" applyNumberFormat="1" applyFont="1" applyFill="1" applyBorder="1" applyAlignment="1">
      <x:alignment horizontal="left" vertical="center"/>
    </x:xf>
    <x:xf numFmtId="202" fontId="23" fillId="53" borderId="4" xfId="0" applyNumberFormat="1" applyFont="1" applyFill="1" applyBorder="1" applyAlignment="1">
      <x:alignment horizontal="center" vertical="center"/>
    </x:xf>
    <x:xf numFmtId="204" fontId="23" fillId="53" borderId="4" xfId="0" applyNumberFormat="1" applyFont="1" applyFill="1" applyBorder="1" applyAlignment="1">
      <x:alignment horizontal="left" vertical="center"/>
    </x:xf>
    <x:xf numFmtId="0" fontId="0" fillId="54" borderId="0" xfId="0" applyNumberFormat="1" applyFont="1" applyFill="1" applyBorder="1"/>
    <x:xf numFmtId="0" fontId="21" fillId="54" borderId="0" xfId="0" applyNumberFormat="1" applyFont="1" applyFill="1" applyBorder="1"/>
    <x:xf numFmtId="0" fontId="21" fillId="54" borderId="7" xfId="0" applyNumberFormat="1" applyFont="1" applyFill="1" applyBorder="1"/>
    <x:xf numFmtId="0" fontId="21" fillId="54" borderId="7" xfId="0" applyNumberFormat="1" applyFont="1" applyFill="1" applyBorder="1" applyAlignment="1">
      <x:alignment vertical="center"/>
    </x:xf>
    <x:xf numFmtId="0" fontId="21" fillId="54" borderId="7" xfId="0" applyNumberFormat="1" applyFont="1" applyFill="1" applyBorder="1" applyAlignment="1">
      <x:alignment horizontal="center" vertical="center"/>
    </x:xf>
    <x:xf numFmtId="0" fontId="21" fillId="54" borderId="7" xfId="0" applyNumberFormat="1" applyFont="1" applyFill="1" applyBorder="1" applyAlignment="1">
      <x:alignment horizontal="right" vertical="center"/>
    </x:xf>
    <x:xf numFmtId="0" fontId="21" fillId="54" borderId="7" xfId="0" applyNumberFormat="1" applyFont="1" applyFill="1" applyBorder="1" applyAlignment="1">
      <x:alignment horizontal="left" vertical="center"/>
    </x:xf>
    <x:xf numFmtId="201" fontId="21" fillId="54" borderId="7" xfId="0" applyNumberFormat="1" applyFont="1" applyFill="1" applyBorder="1" applyAlignment="1">
      <x:alignment horizontal="center" vertical="center"/>
    </x:xf>
    <x:xf numFmtId="200" fontId="21" fillId="54" borderId="7" xfId="0" applyNumberFormat="1" applyFont="1" applyFill="1" applyBorder="1" applyAlignment="1">
      <x:alignment horizontal="right" vertical="center"/>
    </x:xf>
    <x:xf numFmtId="0" fontId="0" fillId="55" borderId="0" xfId="0" applyNumberFormat="1" applyFont="1" applyFill="1" applyBorder="1"/>
    <x:xf numFmtId="0" fontId="1" fillId="55" borderId="0" xfId="0" applyNumberFormat="1" applyFont="1" applyFill="1" applyBorder="1"/>
    <x:xf numFmtId="0" fontId="1" fillId="55" borderId="0" xfId="0" applyNumberFormat="1" applyFont="1" applyFill="1" applyBorder="1" applyAlignment="1">
      <x:alignment horizontal="center"/>
    </x:xf>
    <x:xf numFmtId="0" fontId="1" fillId="55" borderId="0" xfId="0" applyNumberFormat="1" applyFont="1" applyFill="1" applyBorder="1" applyAlignment="1">
      <x:alignment horizontal="center" vertical="center"/>
    </x:xf>
    <x:xf numFmtId="0" fontId="0" fillId="56" borderId="0" xfId="0" applyNumberFormat="1" applyFont="1" applyFill="1" applyBorder="1"/>
    <x:xf numFmtId="0" fontId="24" fillId="56" borderId="0" xfId="0" applyNumberFormat="1" applyFont="1" applyFill="1" applyBorder="1"/>
    <x:xf numFmtId="0" fontId="24" fillId="56" borderId="0" xfId="0" applyNumberFormat="1" applyFont="1" applyFill="1" applyBorder="1" applyAlignment="1">
      <x:alignment horizontal="left"/>
    </x:xf>
    <x:xf numFmtId="0" fontId="24" fillId="56" borderId="0" xfId="0" applyNumberFormat="1" applyFont="1" applyFill="1" applyBorder="1" applyAlignment="1">
      <x:alignment horizontal="left" vertical="center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1" fillId="57" borderId="1" xfId="0" applyNumberFormat="1" applyFont="1" applyFill="1" applyBorder="1"/>
    <x:xf numFmtId="0" fontId="1" fillId="57" borderId="1" xfId="0" applyNumberFormat="1" applyFont="1" applyFill="1" applyBorder="1" applyAlignment="1">
      <x:alignment wrapText="1"/>
    </x:xf>
    <x:xf numFmtId="0" fontId="1" fillId="57" borderId="1" xfId="0" applyNumberFormat="1" applyFont="1" applyFill="1" applyBorder="1" applyAlignment="1">
      <x:alignment horizontal="center" wrapText="1"/>
    </x:xf>
    <x:xf numFmtId="0" fontId="1" fillId="57" borderId="1" xfId="0" applyNumberFormat="1" applyFont="1" applyFill="1" applyBorder="1" applyAlignment="1">
      <x:alignment horizontal="center" vertical="center" wrapText="1"/>
    </x:xf>
    <x:xf numFmtId="0" fontId="0" fillId="58" borderId="0" xfId="0" applyNumberFormat="1" applyFont="1" applyFill="1" applyBorder="1"/>
    <x:xf numFmtId="0" fontId="25" fillId="58" borderId="0" xfId="0" applyNumberFormat="1" applyFont="1" applyFill="1" applyBorder="1"/>
    <x:xf numFmtId="0" fontId="25" fillId="58" borderId="5" xfId="0" applyNumberFormat="1" applyFont="1" applyFill="1" applyBorder="1"/>
    <x:xf numFmtId="0" fontId="25" fillId="58" borderId="5" xfId="0" applyNumberFormat="1" applyFont="1" applyFill="1" applyBorder="1" applyAlignment="1">
      <x:alignment wrapText="1"/>
    </x:xf>
    <x:xf numFmtId="0" fontId="25" fillId="58" borderId="5" xfId="0" applyNumberFormat="1" applyFont="1" applyFill="1" applyBorder="1" applyAlignment="1">
      <x:alignment vertical="center" wrapText="1"/>
    </x:xf>
    <x:xf numFmtId="0" fontId="16" fillId="56" borderId="0" xfId="0" applyNumberFormat="1" applyFont="1" applyFill="1" applyBorder="1"/>
    <x:xf numFmtId="0" fontId="16" fillId="56" borderId="8" xfId="0" applyNumberFormat="1" applyFont="1" applyFill="1" applyBorder="1"/>
    <x:xf numFmtId="0" fontId="16" fillId="56" borderId="9" xfId="0" applyNumberFormat="1" applyFont="1" applyFill="1" applyBorder="1"/>
    <x:xf numFmtId="0" fontId="16" fillId="56" borderId="10" xfId="0" applyNumberFormat="1" applyFont="1" applyFill="1" applyBorder="1"/>
    <x:xf numFmtId="0" fontId="16" fillId="56" borderId="8" xfId="0" applyNumberFormat="1" applyFont="1" applyFill="1" applyBorder="1" applyAlignment="1">
      <x:alignment vertical="center"/>
    </x:xf>
    <x:xf numFmtId="0" fontId="16" fillId="56" borderId="9" xfId="0" applyNumberFormat="1" applyFont="1" applyFill="1" applyBorder="1" applyAlignment="1">
      <x:alignment vertical="center"/>
    </x:xf>
    <x:xf numFmtId="0" fontId="16" fillId="56" borderId="10" xfId="0" applyNumberFormat="1" applyFont="1" applyFill="1" applyBorder="1" applyAlignment="1">
      <x:alignment vertical="center"/>
    </x:xf>
    <x:xf numFmtId="0" fontId="25" fillId="58" borderId="5" xfId="0" applyNumberFormat="1" applyFont="1" applyFill="1" applyBorder="1" applyAlignment="1">
      <x:alignment horizontal="center" vertical="center" wrapText="1"/>
    </x:xf>
    <x:xf numFmtId="0" fontId="25" fillId="58" borderId="5" xfId="0" applyNumberFormat="1" applyFont="1" applyFill="1" applyBorder="1" applyAlignment="1">
      <x:alignment horizontal="left" vertical="center" wrapText="1"/>
    </x:xf>
    <x:xf numFmtId="0" fontId="16" fillId="56" borderId="9" xfId="0" applyNumberFormat="1" applyFont="1" applyFill="1" applyBorder="1" applyAlignment="1">
      <x:alignment horizontal="center" vertical="center"/>
    </x:xf>
    <x:xf numFmtId="0" fontId="25" fillId="58" borderId="5" xfId="0" applyNumberFormat="1" applyFont="1" applyFill="1" applyBorder="1" applyAlignment="1">
      <x:alignment horizontal="right" vertical="center" wrapText="1"/>
    </x:xf>
    <x:xf numFmtId="0" fontId="16" fillId="56" borderId="9" xfId="0" applyNumberFormat="1" applyFont="1" applyFill="1" applyBorder="1" applyAlignment="1">
      <x:alignment horizontal="right" vertical="center"/>
    </x:xf>
    <x:xf numFmtId="0" fontId="16" fillId="56" borderId="8" xfId="0" applyNumberFormat="1" applyFont="1" applyFill="1" applyBorder="1" applyAlignment="1">
      <x:alignment horizontal="center" vertical="center"/>
    </x:xf>
    <x:xf numFmtId="203" fontId="25" fillId="58" borderId="5" xfId="0" applyNumberFormat="1" applyFont="1" applyFill="1" applyBorder="1" applyAlignment="1">
      <x:alignment horizontal="right" vertical="center" wrapText="1"/>
    </x:xf>
    <x:xf numFmtId="203" fontId="16" fillId="56" borderId="9" xfId="0" applyNumberFormat="1" applyFont="1" applyFill="1" applyBorder="1" applyAlignment="1">
      <x:alignment horizontal="right" vertical="center"/>
    </x:xf>
    <x:xf numFmtId="202" fontId="21" fillId="6" borderId="7" xfId="0" applyNumberFormat="1" applyFont="1" applyFill="1" applyBorder="1" applyAlignment="1">
      <x:alignment horizontal="center" vertical="center"/>
    </x:xf>
    <x:xf numFmtId="200" fontId="21" fillId="6" borderId="7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2" fontId="21" fillId="58" borderId="7" xfId="0" applyNumberFormat="1" applyFont="1" applyFill="1" applyBorder="1" applyAlignment="1">
      <x:alignment horizontal="center" vertical="center"/>
    </x:xf>
    <x:xf numFmtId="201" fontId="21" fillId="58" borderId="7" xfId="0" applyNumberFormat="1" applyFont="1" applyFill="1" applyBorder="1" applyAlignment="1">
      <x:alignment horizontal="center" vertical="center"/>
    </x:xf>
    <x:xf numFmtId="200" fontId="21" fillId="58" borderId="7" xfId="0" applyNumberFormat="1" applyFont="1" applyFill="1" applyBorder="1" applyAlignment="1">
      <x:alignment horizontal="right" vertical="center"/>
    </x:xf>
    <x:xf numFmtId="0" fontId="21" fillId="58" borderId="7" xfId="0" applyNumberFormat="1" applyFont="1" applyFill="1" applyBorder="1" applyAlignment="1">
      <x:alignment horizontal="left" vertical="center"/>
    </x:xf>
    <x:xf numFmtId="202" fontId="26" fillId="58" borderId="7" xfId="0" applyNumberFormat="1" applyFont="1" applyFill="1" applyBorder="1" applyAlignment="1">
      <x:alignment horizontal="center" vertical="center"/>
    </x:xf>
    <x:xf numFmtId="201" fontId="26" fillId="58" borderId="7" xfId="0" applyNumberFormat="1" applyFont="1" applyFill="1" applyBorder="1" applyAlignment="1">
      <x:alignment horizontal="center" vertical="center"/>
    </x:xf>
    <x:xf numFmtId="200" fontId="26" fillId="58" borderId="7" xfId="0" applyNumberFormat="1" applyFont="1" applyFill="1" applyBorder="1" applyAlignment="1">
      <x:alignment horizontal="right" vertical="center"/>
    </x:xf>
    <x:xf numFmtId="0" fontId="26" fillId="58" borderId="7" xfId="0" applyNumberFormat="1" applyFont="1" applyFill="1" applyBorder="1" applyAlignment="1">
      <x:alignment horizontal="left" vertical="center"/>
    </x:xf>
    <x:xf numFmtId="202" fontId="26" fillId="58" borderId="1" xfId="0" applyNumberFormat="1" applyFont="1" applyFill="1" applyBorder="1" applyAlignment="1">
      <x:alignment horizontal="center" vertical="center"/>
    </x:xf>
    <x:xf numFmtId="201" fontId="26" fillId="58" borderId="1" xfId="0" applyNumberFormat="1" applyFont="1" applyFill="1" applyBorder="1" applyAlignment="1">
      <x:alignment horizontal="center" vertical="center"/>
    </x:xf>
    <x:xf numFmtId="200" fontId="26" fillId="58" borderId="1" xfId="0" applyNumberFormat="1" applyFont="1" applyFill="1" applyBorder="1" applyAlignment="1">
      <x:alignment horizontal="right" vertical="center"/>
    </x:xf>
    <x:xf numFmtId="0" fontId="26" fillId="58" borderId="1" xfId="0" applyNumberFormat="1" applyFont="1" applyFill="1" applyBorder="1" applyAlignment="1">
      <x:alignment horizontal="left" vertical="center"/>
    </x:xf>
    <x:xf numFmtId="0" fontId="0" fillId="59" borderId="0" xfId="0" applyNumberFormat="1" applyFont="1" applyFill="1" applyBorder="1"/>
    <x:xf numFmtId="200" fontId="0" fillId="59" borderId="0" xfId="0" applyNumberFormat="1" applyFont="1" applyFill="1" applyBorder="1"/>
    <x:xf numFmtId="0" fontId="16" fillId="59" borderId="0" xfId="0" applyNumberFormat="1" applyFont="1" applyFill="1" applyBorder="1"/>
    <x:xf numFmtId="200" fontId="16" fillId="59" borderId="0" xfId="0" applyNumberFormat="1" applyFont="1" applyFill="1" applyBorder="1"/>
    <x:xf numFmtId="0" fontId="16" fillId="59" borderId="11" xfId="0" applyNumberFormat="1" applyFont="1" applyFill="1" applyBorder="1"/>
    <x:xf numFmtId="0" fontId="16" fillId="59" borderId="12" xfId="0" applyNumberFormat="1" applyFont="1" applyFill="1" applyBorder="1"/>
    <x:xf numFmtId="200" fontId="16" fillId="59" borderId="12" xfId="0" applyNumberFormat="1" applyFont="1" applyFill="1" applyBorder="1"/>
    <x:xf numFmtId="0" fontId="16" fillId="59" borderId="13" xfId="0" applyNumberFormat="1" applyFont="1" applyFill="1" applyBorder="1"/>
    <x:xf numFmtId="0" fontId="16" fillId="59" borderId="11" xfId="0" applyNumberFormat="1" applyFont="1" applyFill="1" applyBorder="1" applyAlignment="1">
      <x:alignment vertical="center"/>
    </x:xf>
    <x:xf numFmtId="0" fontId="16" fillId="59" borderId="12" xfId="0" applyNumberFormat="1" applyFont="1" applyFill="1" applyBorder="1" applyAlignment="1">
      <x:alignment vertical="center"/>
    </x:xf>
    <x:xf numFmtId="200" fontId="16" fillId="59" borderId="12" xfId="0" applyNumberFormat="1" applyFont="1" applyFill="1" applyBorder="1" applyAlignment="1">
      <x:alignment vertical="center"/>
    </x:xf>
    <x:xf numFmtId="0" fontId="16" fillId="59" borderId="13" xfId="0" applyNumberFormat="1" applyFont="1" applyFill="1" applyBorder="1" applyAlignment="1">
      <x:alignment vertical="center"/>
    </x:xf>
    <x:xf numFmtId="0" fontId="16" fillId="59" borderId="11" xfId="0" applyNumberFormat="1" applyFont="1" applyFill="1" applyBorder="1" applyAlignment="1">
      <x:alignment horizontal="center" vertical="center"/>
    </x:xf>
    <x:xf numFmtId="0" fontId="16" fillId="59" borderId="12" xfId="0" applyNumberFormat="1" applyFont="1" applyFill="1" applyBorder="1" applyAlignment="1">
      <x:alignment horizontal="center" vertical="center"/>
    </x:xf>
    <x:xf numFmtId="200" fontId="16" fillId="59" borderId="12" xfId="0" applyNumberFormat="1" applyFont="1" applyFill="1" applyBorder="1" applyAlignment="1">
      <x:alignment horizontal="right" vertical="center"/>
    </x:xf>
    <x:xf numFmtId="0" fontId="16" fillId="59" borderId="13" xfId="0" applyNumberFormat="1" applyFont="1" applyFill="1" applyBorder="1" applyAlignment="1">
      <x:alignment horizontal="left" vertical="center"/>
    </x:xf>
    <x:xf numFmtId="0" fontId="16" fillId="60" borderId="8" xfId="0" applyNumberFormat="1" applyFont="1" applyFill="1" applyBorder="1" applyAlignment="1">
      <x:alignment horizontal="center" vertical="center"/>
    </x:xf>
    <x:xf numFmtId="0" fontId="16" fillId="60" borderId="9" xfId="0" applyNumberFormat="1" applyFont="1" applyFill="1" applyBorder="1" applyAlignment="1">
      <x:alignment horizontal="center" vertical="center"/>
    </x:xf>
    <x:xf numFmtId="203" fontId="16" fillId="60" borderId="9" xfId="0" applyNumberFormat="1" applyFont="1" applyFill="1" applyBorder="1" applyAlignment="1">
      <x:alignment horizontal="right" vertical="center"/>
    </x:xf>
    <x:xf numFmtId="0" fontId="16" fillId="60" borderId="9" xfId="0" applyNumberFormat="1" applyFont="1" applyFill="1" applyBorder="1" applyAlignment="1">
      <x:alignment vertical="center"/>
    </x:xf>
    <x:xf numFmtId="0" fontId="16" fillId="60" borderId="10" xfId="0" applyNumberFormat="1" applyFont="1" applyFill="1" applyBorder="1" applyAlignment="1">
      <x:alignment vertical="center"/>
    </x:xf>
    <x:xf numFmtId="0" fontId="24" fillId="60" borderId="8" xfId="0" applyNumberFormat="1" applyFont="1" applyFill="1" applyBorder="1" applyAlignment="1">
      <x:alignment horizontal="center" vertical="center"/>
    </x:xf>
    <x:xf numFmtId="0" fontId="24" fillId="60" borderId="9" xfId="0" applyNumberFormat="1" applyFont="1" applyFill="1" applyBorder="1" applyAlignment="1">
      <x:alignment horizontal="center" vertical="center"/>
    </x:xf>
    <x:xf numFmtId="203" fontId="24" fillId="60" borderId="9" xfId="0" applyNumberFormat="1" applyFont="1" applyFill="1" applyBorder="1" applyAlignment="1">
      <x:alignment horizontal="right" vertical="center"/>
    </x:xf>
    <x:xf numFmtId="0" fontId="24" fillId="60" borderId="9" xfId="0" applyNumberFormat="1" applyFont="1" applyFill="1" applyBorder="1" applyAlignment="1">
      <x:alignment vertical="center"/>
    </x:xf>
    <x:xf numFmtId="0" fontId="24" fillId="60" borderId="10" xfId="0" applyNumberFormat="1" applyFont="1" applyFill="1" applyBorder="1" applyAlignment="1">
      <x:alignment vertical="center"/>
    </x:xf>
    <x:xf numFmtId="0" fontId="24" fillId="60" borderId="5" xfId="0" applyNumberFormat="1" applyFont="1" applyFill="1" applyBorder="1" applyAlignment="1">
      <x:alignment horizontal="center" vertical="center"/>
    </x:xf>
    <x:xf numFmtId="203" fontId="24" fillId="60" borderId="5" xfId="0" applyNumberFormat="1" applyFont="1" applyFill="1" applyBorder="1" applyAlignment="1">
      <x:alignment horizontal="right" vertical="center"/>
    </x:xf>
    <x:xf numFmtId="0" fontId="24" fillId="60" borderId="5" xfId="0" applyNumberFormat="1" applyFont="1" applyFill="1" applyBorder="1" applyAlignment="1">
      <x:alignment vertical="center"/>
    </x:xf>
    <x:xf numFmtId="0" fontId="24" fillId="60" borderId="5" xfId="0" applyNumberFormat="1" applyFont="1" applyFill="1" applyBorder="1" applyAlignment="1">
      <x:alignment horizontal="center" vertical="center" wrapText="1"/>
    </x:xf>
    <x:xf numFmtId="203" fontId="24" fillId="60" borderId="5" xfId="0" applyNumberFormat="1" applyFont="1" applyFill="1" applyBorder="1" applyAlignment="1">
      <x:alignment horizontal="right" vertical="center" wrapText="1"/>
    </x:xf>
    <x:xf numFmtId="0" fontId="24" fillId="60" borderId="5" xfId="0" applyNumberFormat="1" applyFont="1" applyFill="1" applyBorder="1" applyAlignment="1">
      <x:alignment vertical="center" wrapText="1"/>
    </x:xf>
    <x:xf numFmtId="0" fontId="24" fillId="60" borderId="5" xfId="0" applyNumberFormat="1" applyFont="1" applyFill="1" applyBorder="1" applyAlignment="1">
      <x:alignment horizontal="left" vertical="center" wrapText="1"/>
    </x:xf>
    <x:xf numFmtId="0" fontId="0" fillId="61" borderId="0" xfId="0" applyNumberFormat="1" applyFont="1" applyFill="1" applyBorder="1"/>
    <x:xf numFmtId="0" fontId="16" fillId="61" borderId="0" xfId="0" applyNumberFormat="1" applyFont="1" applyFill="1" applyBorder="1"/>
    <x:xf numFmtId="0" fontId="16" fillId="61" borderId="8" xfId="0" applyNumberFormat="1" applyFont="1" applyFill="1" applyBorder="1"/>
    <x:xf numFmtId="0" fontId="16" fillId="61" borderId="9" xfId="0" applyNumberFormat="1" applyFont="1" applyFill="1" applyBorder="1"/>
    <x:xf numFmtId="0" fontId="16" fillId="61" borderId="10" xfId="0" applyNumberFormat="1" applyFont="1" applyFill="1" applyBorder="1"/>
    <x:xf numFmtId="0" fontId="16" fillId="61" borderId="8" xfId="0" applyNumberFormat="1" applyFont="1" applyFill="1" applyBorder="1" applyAlignment="1">
      <x:alignment vertical="center"/>
    </x:xf>
    <x:xf numFmtId="0" fontId="16" fillId="61" borderId="9" xfId="0" applyNumberFormat="1" applyFont="1" applyFill="1" applyBorder="1" applyAlignment="1">
      <x:alignment vertical="center"/>
    </x:xf>
    <x:xf numFmtId="0" fontId="16" fillId="61" borderId="10" xfId="0" applyNumberFormat="1" applyFont="1" applyFill="1" applyBorder="1" applyAlignment="1">
      <x:alignment vertical="center"/>
    </x:xf>
    <x:xf numFmtId="0" fontId="16" fillId="61" borderId="8" xfId="0" applyNumberFormat="1" applyFont="1" applyFill="1" applyBorder="1" applyAlignment="1">
      <x:alignment horizontal="center" vertical="center"/>
    </x:xf>
    <x:xf numFmtId="0" fontId="16" fillId="61" borderId="9" xfId="0" applyNumberFormat="1" applyFont="1" applyFill="1" applyBorder="1" applyAlignment="1">
      <x:alignment horizontal="center" vertical="center"/>
    </x:xf>
    <x:xf numFmtId="0" fontId="16" fillId="61" borderId="9" xfId="0" applyNumberFormat="1" applyFont="1" applyFill="1" applyBorder="1" applyAlignment="1">
      <x:alignment horizontal="right" vertical="center"/>
    </x:xf>
    <x:xf numFmtId="203" fontId="16" fillId="61" borderId="9" xfId="0" applyNumberFormat="1" applyFont="1" applyFill="1" applyBorder="1" applyAlignment="1">
      <x:alignment horizontal="right" vertical="center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0" xfId="0" applyNumberFormat="1" applyFont="1" applyFill="1" applyBorder="1" applyAlignment="1">
      <x:alignment horizontal="center"/>
    </x:xf>
    <x:xf numFmtId="0" fontId="1" fillId="62" borderId="0" xfId="0" applyNumberFormat="1" applyFont="1" applyFill="1" applyBorder="1" applyAlignment="1">
      <x:alignment horizontal="center" vertical="center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horizontal="left"/>
    </x:xf>
    <x:xf numFmtId="0" fontId="24" fillId="63" borderId="0" xfId="0" applyNumberFormat="1" applyFont="1" applyFill="1" applyBorder="1" applyAlignment="1">
      <x:alignment horizontal="left" vertical="center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1" fillId="64" borderId="1" xfId="0" applyNumberFormat="1" applyFont="1" applyFill="1" applyBorder="1"/>
    <x:xf numFmtId="0" fontId="1" fillId="64" borderId="1" xfId="0" applyNumberFormat="1" applyFont="1" applyFill="1" applyBorder="1" applyAlignment="1">
      <x:alignment wrapText="1"/>
    </x:xf>
    <x:xf numFmtId="0" fontId="1" fillId="64" borderId="1" xfId="0" applyNumberFormat="1" applyFont="1" applyFill="1" applyBorder="1" applyAlignment="1">
      <x:alignment horizontal="center" wrapText="1"/>
    </x:xf>
    <x:xf numFmtId="0" fontId="1" fillId="64" borderId="1" xfId="0" applyNumberFormat="1" applyFont="1" applyFill="1" applyBorder="1" applyAlignment="1">
      <x:alignment horizontal="center" vertical="center" wrapText="1"/>
    </x:xf>
    <x:xf numFmtId="0" fontId="0" fillId="65" borderId="0" xfId="0" applyNumberFormat="1" applyFont="1" applyFill="1" applyBorder="1"/>
    <x:xf numFmtId="0" fontId="25" fillId="65" borderId="0" xfId="0" applyNumberFormat="1" applyFont="1" applyFill="1" applyBorder="1"/>
    <x:xf numFmtId="0" fontId="25" fillId="65" borderId="5" xfId="0" applyNumberFormat="1" applyFont="1" applyFill="1" applyBorder="1"/>
    <x:xf numFmtId="0" fontId="25" fillId="65" borderId="5" xfId="0" applyNumberFormat="1" applyFont="1" applyFill="1" applyBorder="1" applyAlignment="1">
      <x:alignment wrapText="1"/>
    </x:xf>
    <x:xf numFmtId="0" fontId="25" fillId="65" borderId="5" xfId="0" applyNumberFormat="1" applyFont="1" applyFill="1" applyBorder="1" applyAlignment="1">
      <x:alignment vertical="center" wrapText="1"/>
    </x:xf>
    <x:xf numFmtId="0" fontId="25" fillId="65" borderId="5" xfId="0" applyNumberFormat="1" applyFont="1" applyFill="1" applyBorder="1" applyAlignment="1">
      <x:alignment horizontal="center" vertical="center" wrapText="1"/>
    </x:xf>
    <x:xf numFmtId="0" fontId="25" fillId="65" borderId="5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25" fillId="65" borderId="5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200" fontId="25" fillId="65" borderId="5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/>
    </x:xf>
    <x:xf numFmtId="0" fontId="0" fillId="63" borderId="0" xfId="0" applyNumberFormat="1" applyFont="1" applyFill="1" applyBorder="1" applyAlignment="1">
      <x:alignment horizontal="center"/>
    </x:xf>
    <x:xf numFmtId="200" fontId="0" fillId="63" borderId="0" xfId="0" applyNumberFormat="1" applyFont="1" applyFill="1" applyBorder="1" applyAlignment="1">
      <x:alignment horizontal="right"/>
    </x:xf>
    <x:xf numFmtId="0" fontId="16" fillId="63" borderId="0" xfId="0" applyNumberFormat="1" applyFont="1" applyFill="1" applyBorder="1"/>
    <x:xf numFmtId="0" fontId="16" fillId="63" borderId="0" xfId="0" applyNumberFormat="1" applyFont="1" applyFill="1" applyBorder="1" applyAlignment="1">
      <x:alignment horizontal="center"/>
    </x:xf>
    <x:xf numFmtId="200" fontId="16" fillId="63" borderId="0" xfId="0" applyNumberFormat="1" applyFont="1" applyFill="1" applyBorder="1" applyAlignment="1">
      <x:alignment horizontal="right"/>
    </x:xf>
    <x:xf numFmtId="0" fontId="16" fillId="63" borderId="8" xfId="0" applyNumberFormat="1" applyFont="1" applyFill="1" applyBorder="1"/>
    <x:xf numFmtId="0" fontId="16" fillId="63" borderId="9" xfId="0" applyNumberFormat="1" applyFont="1" applyFill="1" applyBorder="1"/>
    <x:xf numFmtId="0" fontId="16" fillId="63" borderId="9" xfId="0" applyNumberFormat="1" applyFont="1" applyFill="1" applyBorder="1" applyAlignment="1">
      <x:alignment horizontal="center"/>
    </x:xf>
    <x:xf numFmtId="200" fontId="16" fillId="63" borderId="9" xfId="0" applyNumberFormat="1" applyFont="1" applyFill="1" applyBorder="1" applyAlignment="1">
      <x:alignment horizontal="right"/>
    </x:xf>
    <x:xf numFmtId="0" fontId="16" fillId="63" borderId="10" xfId="0" applyNumberFormat="1" applyFont="1" applyFill="1" applyBorder="1"/>
    <x:xf numFmtId="0" fontId="16" fillId="63" borderId="8" xfId="0" applyNumberFormat="1" applyFont="1" applyFill="1" applyBorder="1" applyAlignment="1">
      <x:alignment vertical="center"/>
    </x:xf>
    <x:xf numFmtId="0" fontId="16" fillId="63" borderId="9" xfId="0" applyNumberFormat="1" applyFont="1" applyFill="1" applyBorder="1" applyAlignment="1">
      <x:alignment vertical="center"/>
    </x:xf>
    <x:xf numFmtId="0" fontId="16" fillId="63" borderId="9" xfId="0" applyNumberFormat="1" applyFont="1" applyFill="1" applyBorder="1" applyAlignment="1">
      <x:alignment horizontal="center" vertical="center"/>
    </x:xf>
    <x:xf numFmtId="200" fontId="16" fillId="63" borderId="9" xfId="0" applyNumberFormat="1" applyFont="1" applyFill="1" applyBorder="1" applyAlignment="1">
      <x:alignment horizontal="right" vertical="center"/>
    </x:xf>
    <x:xf numFmtId="0" fontId="16" fillId="63" borderId="10" xfId="0" applyNumberFormat="1" applyFont="1" applyFill="1" applyBorder="1" applyAlignment="1">
      <x:alignment vertical="center"/>
    </x:xf>
    <x:xf numFmtId="0" fontId="16" fillId="63" borderId="8" xfId="0" applyNumberFormat="1" applyFont="1" applyFill="1" applyBorder="1" applyAlignment="1">
      <x:alignment horizontal="center" vertical="center"/>
    </x:xf>
    <x:xf numFmtId="202" fontId="16" fillId="6" borderId="11" xfId="0" applyNumberFormat="1" applyFont="1" applyFill="1" applyBorder="1" applyAlignment="1">
      <x:alignment horizontal="center" vertical="center"/>
    </x:xf>
    <x:xf numFmtId="200" fontId="16" fillId="6" borderId="12" xfId="0" applyNumberFormat="1" applyFont="1" applyFill="1" applyBorder="1" applyAlignment="1">
      <x:alignment horizontal="right" vertical="center"/>
    </x:xf>
    <x:xf numFmtId="202" fontId="16" fillId="65" borderId="11" xfId="0" applyNumberFormat="1" applyFont="1" applyFill="1" applyBorder="1" applyAlignment="1">
      <x:alignment horizontal="center" vertical="center"/>
    </x:xf>
    <x:xf numFmtId="0" fontId="16" fillId="65" borderId="12" xfId="0" applyNumberFormat="1" applyFont="1" applyFill="1" applyBorder="1" applyAlignment="1">
      <x:alignment horizontal="center" vertical="center"/>
    </x:xf>
    <x:xf numFmtId="200" fontId="16" fillId="65" borderId="12" xfId="0" applyNumberFormat="1" applyFont="1" applyFill="1" applyBorder="1" applyAlignment="1">
      <x:alignment horizontal="right" vertical="center"/>
    </x:xf>
    <x:xf numFmtId="0" fontId="16" fillId="65" borderId="13" xfId="0" applyNumberFormat="1" applyFont="1" applyFill="1" applyBorder="1" applyAlignment="1">
      <x:alignment horizontal="left" vertical="center"/>
    </x:xf>
    <x:xf numFmtId="202" fontId="24" fillId="65" borderId="11" xfId="0" applyNumberFormat="1" applyFont="1" applyFill="1" applyBorder="1" applyAlignment="1">
      <x:alignment horizontal="center" vertical="center"/>
    </x:xf>
    <x:xf numFmtId="0" fontId="24" fillId="65" borderId="12" xfId="0" applyNumberFormat="1" applyFont="1" applyFill="1" applyBorder="1" applyAlignment="1">
      <x:alignment horizontal="center" vertical="center"/>
    </x:xf>
    <x:xf numFmtId="200" fontId="24" fillId="65" borderId="12" xfId="0" applyNumberFormat="1" applyFont="1" applyFill="1" applyBorder="1" applyAlignment="1">
      <x:alignment horizontal="right" vertical="center"/>
    </x:xf>
    <x:xf numFmtId="0" fontId="24" fillId="65" borderId="13" xfId="0" applyNumberFormat="1" applyFont="1" applyFill="1" applyBorder="1" applyAlignment="1">
      <x:alignment horizontal="left" vertical="center"/>
    </x:xf>
    <x:xf numFmtId="202" fontId="24" fillId="65" borderId="1" xfId="0" applyNumberFormat="1" applyFont="1" applyFill="1" applyBorder="1" applyAlignment="1">
      <x:alignment horizontal="center" vertical="center"/>
    </x:xf>
    <x:xf numFmtId="0" fontId="24" fillId="65" borderId="1" xfId="0" applyNumberFormat="1" applyFont="1" applyFill="1" applyBorder="1" applyAlignment="1">
      <x:alignment horizontal="center" vertical="center"/>
    </x:xf>
    <x:xf numFmtId="200" fontId="24" fillId="65" borderId="1" xfId="0" applyNumberFormat="1" applyFont="1" applyFill="1" applyBorder="1" applyAlignment="1">
      <x:alignment horizontal="right" vertical="center"/>
    </x:xf>
    <x:xf numFmtId="0" fontId="24" fillId="65" borderId="1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200" fontId="0" fillId="66" borderId="0" xfId="0" applyNumberFormat="1" applyFont="1" applyFill="1" applyBorder="1"/>
    <x:xf numFmtId="0" fontId="16" fillId="66" borderId="0" xfId="0" applyNumberFormat="1" applyFont="1" applyFill="1" applyBorder="1"/>
    <x:xf numFmtId="200" fontId="16" fillId="66" borderId="0" xfId="0" applyNumberFormat="1" applyFont="1" applyFill="1" applyBorder="1"/>
    <x:xf numFmtId="0" fontId="16" fillId="66" borderId="11" xfId="0" applyNumberFormat="1" applyFont="1" applyFill="1" applyBorder="1"/>
    <x:xf numFmtId="0" fontId="16" fillId="66" borderId="12" xfId="0" applyNumberFormat="1" applyFont="1" applyFill="1" applyBorder="1"/>
    <x:xf numFmtId="200" fontId="16" fillId="66" borderId="12" xfId="0" applyNumberFormat="1" applyFont="1" applyFill="1" applyBorder="1"/>
    <x:xf numFmtId="0" fontId="16" fillId="66" borderId="13" xfId="0" applyNumberFormat="1" applyFont="1" applyFill="1" applyBorder="1"/>
    <x:xf numFmtId="0" fontId="16" fillId="66" borderId="11" xfId="0" applyNumberFormat="1" applyFont="1" applyFill="1" applyBorder="1" applyAlignment="1">
      <x:alignment vertical="center"/>
    </x:xf>
    <x:xf numFmtId="0" fontId="16" fillId="66" borderId="12" xfId="0" applyNumberFormat="1" applyFont="1" applyFill="1" applyBorder="1" applyAlignment="1">
      <x:alignment vertical="center"/>
    </x:xf>
    <x:xf numFmtId="200" fontId="16" fillId="66" borderId="12" xfId="0" applyNumberFormat="1" applyFont="1" applyFill="1" applyBorder="1" applyAlignment="1">
      <x:alignment vertical="center"/>
    </x:xf>
    <x:xf numFmtId="0" fontId="16" fillId="66" borderId="13" xfId="0" applyNumberFormat="1" applyFont="1" applyFill="1" applyBorder="1" applyAlignment="1">
      <x:alignment vertical="center"/>
    </x:xf>
    <x:xf numFmtId="0" fontId="16" fillId="66" borderId="11" xfId="0" applyNumberFormat="1" applyFont="1" applyFill="1" applyBorder="1" applyAlignment="1">
      <x:alignment horizontal="center" vertical="center"/>
    </x:xf>
    <x:xf numFmtId="0" fontId="16" fillId="66" borderId="12" xfId="0" applyNumberFormat="1" applyFont="1" applyFill="1" applyBorder="1" applyAlignment="1">
      <x:alignment horizontal="center" vertical="center"/>
    </x:xf>
    <x:xf numFmtId="200" fontId="16" fillId="66" borderId="12" xfId="0" applyNumberFormat="1" applyFont="1" applyFill="1" applyBorder="1" applyAlignment="1">
      <x:alignment horizontal="right" vertical="center"/>
    </x:xf>
    <x:xf numFmtId="0" fontId="16" fillId="66" borderId="13" xfId="0" applyNumberFormat="1" applyFont="1" applyFill="1" applyBorder="1" applyAlignment="1">
      <x:alignment horizontal="left" vertical="center"/>
    </x:xf>
    <x:xf numFmtId="0" fontId="16" fillId="67" borderId="8" xfId="0" applyNumberFormat="1" applyFont="1" applyFill="1" applyBorder="1" applyAlignment="1">
      <x:alignment horizontal="center" vertical="center"/>
    </x:xf>
    <x:xf numFmtId="0" fontId="16" fillId="67" borderId="9" xfId="0" applyNumberFormat="1" applyFont="1" applyFill="1" applyBorder="1" applyAlignment="1">
      <x:alignment horizontal="center" vertical="center"/>
    </x:xf>
    <x:xf numFmtId="200" fontId="16" fillId="67" borderId="9" xfId="0" applyNumberFormat="1" applyFont="1" applyFill="1" applyBorder="1" applyAlignment="1">
      <x:alignment horizontal="right" vertical="center"/>
    </x:xf>
    <x:xf numFmtId="0" fontId="16" fillId="67" borderId="9" xfId="0" applyNumberFormat="1" applyFont="1" applyFill="1" applyBorder="1" applyAlignment="1">
      <x:alignment vertical="center"/>
    </x:xf>
    <x:xf numFmtId="0" fontId="16" fillId="67" borderId="1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27" fillId="67" borderId="8" xfId="0" applyNumberFormat="1" applyFont="1" applyFill="1" applyBorder="1" applyAlignment="1">
      <x:alignment horizontal="center" vertical="center"/>
    </x:xf>
    <x:xf numFmtId="0" fontId="27" fillId="67" borderId="9" xfId="0" applyNumberFormat="1" applyFont="1" applyFill="1" applyBorder="1" applyAlignment="1">
      <x:alignment horizontal="center" vertical="center"/>
    </x:xf>
    <x:xf numFmtId="200" fontId="27" fillId="67" borderId="9" xfId="0" applyNumberFormat="1" applyFont="1" applyFill="1" applyBorder="1" applyAlignment="1">
      <x:alignment horizontal="right" vertical="center"/>
    </x:xf>
    <x:xf numFmtId="0" fontId="27" fillId="67" borderId="9" xfId="0" applyNumberFormat="1" applyFont="1" applyFill="1" applyBorder="1" applyAlignment="1">
      <x:alignment vertical="center"/>
    </x:xf>
    <x:xf numFmtId="0" fontId="27" fillId="67" borderId="10" xfId="0" applyNumberFormat="1" applyFont="1" applyFill="1" applyBorder="1" applyAlignment="1">
      <x:alignment vertical="center"/>
    </x:xf>
    <x:xf numFmtId="0" fontId="27" fillId="67" borderId="0" xfId="0" applyNumberFormat="1" applyFont="1" applyFill="1" applyBorder="1"/>
    <x:xf numFmtId="0" fontId="27" fillId="67" borderId="5" xfId="0" applyNumberFormat="1" applyFont="1" applyFill="1" applyBorder="1" applyAlignment="1">
      <x:alignment horizontal="center" vertical="center"/>
    </x:xf>
    <x:xf numFmtId="200" fontId="27" fillId="67" borderId="5" xfId="0" applyNumberFormat="1" applyFont="1" applyFill="1" applyBorder="1" applyAlignment="1">
      <x:alignment horizontal="right" vertical="center"/>
    </x:xf>
    <x:xf numFmtId="0" fontId="27" fillId="67" borderId="5" xfId="0" applyNumberFormat="1" applyFont="1" applyFill="1" applyBorder="1" applyAlignment="1">
      <x:alignment vertical="center"/>
    </x:xf>
    <x:xf numFmtId="0" fontId="27" fillId="67" borderId="5" xfId="0" applyNumberFormat="1" applyFont="1" applyFill="1" applyBorder="1"/>
    <x:xf numFmtId="0" fontId="27" fillId="67" borderId="5" xfId="0" applyNumberFormat="1" applyFont="1" applyFill="1" applyBorder="1" applyAlignment="1">
      <x:alignment horizontal="center" vertical="center" wrapText="1"/>
    </x:xf>
    <x:xf numFmtId="200" fontId="27" fillId="67" borderId="5" xfId="0" applyNumberFormat="1" applyFont="1" applyFill="1" applyBorder="1" applyAlignment="1">
      <x:alignment horizontal="right" vertical="center" wrapText="1"/>
    </x:xf>
    <x:xf numFmtId="0" fontId="27" fillId="67" borderId="5" xfId="0" applyNumberFormat="1" applyFont="1" applyFill="1" applyBorder="1" applyAlignment="1">
      <x:alignment vertical="center" wrapText="1"/>
    </x:xf>
    <x:xf numFmtId="0" fontId="27" fillId="67" borderId="5" xfId="0" applyNumberFormat="1" applyFont="1" applyFill="1" applyBorder="1" applyAlignment="1">
      <x:alignment wrapText="1"/>
    </x:xf>
    <x:xf numFmtId="0" fontId="27" fillId="67" borderId="5" xfId="0" applyNumberFormat="1" applyFont="1" applyFill="1" applyBorder="1" applyAlignment="1">
      <x:alignment horizontal="left" vertical="center" wrapText="1"/>
    </x:xf>
    <x:xf numFmtId="0" fontId="27" fillId="67" borderId="5" xfId="0" applyNumberFormat="1" applyFont="1" applyFill="1" applyBorder="1" applyAlignment="1">
      <x:alignment horizontal="right" vertical="center" wrapText="1"/>
    </x:xf>
    <x:xf numFmtId="0" fontId="0" fillId="68" borderId="0" xfId="0" applyNumberFormat="1" applyFont="1" applyFill="1" applyBorder="1"/>
    <x:xf numFmtId="0" fontId="16" fillId="68" borderId="0" xfId="0" applyNumberFormat="1" applyFont="1" applyFill="1" applyBorder="1"/>
    <x:xf numFmtId="0" fontId="16" fillId="68" borderId="8" xfId="0" applyNumberFormat="1" applyFont="1" applyFill="1" applyBorder="1"/>
    <x:xf numFmtId="0" fontId="16" fillId="68" borderId="9" xfId="0" applyNumberFormat="1" applyFont="1" applyFill="1" applyBorder="1"/>
    <x:xf numFmtId="0" fontId="16" fillId="68" borderId="10" xfId="0" applyNumberFormat="1" applyFont="1" applyFill="1" applyBorder="1"/>
    <x:xf numFmtId="0" fontId="16" fillId="68" borderId="8" xfId="0" applyNumberFormat="1" applyFont="1" applyFill="1" applyBorder="1" applyAlignment="1">
      <x:alignment vertical="center"/>
    </x:xf>
    <x:xf numFmtId="0" fontId="16" fillId="68" borderId="9" xfId="0" applyNumberFormat="1" applyFont="1" applyFill="1" applyBorder="1" applyAlignment="1">
      <x:alignment vertical="center"/>
    </x:xf>
    <x:xf numFmtId="0" fontId="16" fillId="68" borderId="10" xfId="0" applyNumberFormat="1" applyFont="1" applyFill="1" applyBorder="1" applyAlignment="1">
      <x:alignment vertical="center"/>
    </x:xf>
    <x:xf numFmtId="0" fontId="16" fillId="68" borderId="8" xfId="0" applyNumberFormat="1" applyFont="1" applyFill="1" applyBorder="1" applyAlignment="1">
      <x:alignment horizontal="center" vertical="center"/>
    </x:xf>
    <x:xf numFmtId="0" fontId="16" fillId="68" borderId="9" xfId="0" applyNumberFormat="1" applyFont="1" applyFill="1" applyBorder="1" applyAlignment="1">
      <x:alignment horizontal="center" vertical="center"/>
    </x:xf>
    <x:xf numFmtId="0" fontId="16" fillId="68" borderId="9" xfId="0" applyNumberFormat="1" applyFont="1" applyFill="1" applyBorder="1" applyAlignment="1">
      <x:alignment horizontal="right" vertical="center"/>
    </x:xf>
    <x:xf numFmtId="200" fontId="16" fillId="68" borderId="9" xfId="0" applyNumberFormat="1" applyFont="1" applyFill="1" applyBorder="1" applyAlignment="1">
      <x:alignment horizontal="right" vertical="center"/>
    </x:xf>
    <x:xf numFmtId="0" fontId="25" fillId="11" borderId="5" xfId="0" applyNumberFormat="1" applyFont="1" applyFill="1" applyBorder="1" applyAlignment="1">
      <x:alignment horizontal="left" vertical="center" wrapText="1"/>
    </x:xf>
    <x:xf numFmtId="0" fontId="0" fillId="69" borderId="0" xfId="0" applyNumberFormat="1" applyFont="1" applyFill="1" applyBorder="1"/>
    <x:xf numFmtId="0" fontId="1" fillId="69" borderId="0" xfId="0" applyNumberFormat="1" applyFont="1" applyFill="1" applyBorder="1"/>
    <x:xf numFmtId="0" fontId="1" fillId="69" borderId="0" xfId="0" applyNumberFormat="1" applyFont="1" applyFill="1" applyBorder="1" applyAlignment="1">
      <x:alignment horizontal="center"/>
    </x:xf>
    <x:xf numFmtId="0" fontId="1" fillId="69" borderId="0" xfId="0" applyNumberFormat="1" applyFont="1" applyFill="1" applyBorder="1" applyAlignment="1">
      <x:alignment horizontal="center" vertical="center"/>
    </x:xf>
    <x:xf numFmtId="0" fontId="0" fillId="70" borderId="0" xfId="0" applyNumberFormat="1" applyFont="1" applyFill="1" applyBorder="1"/>
    <x:xf numFmtId="0" fontId="24" fillId="70" borderId="0" xfId="0" applyNumberFormat="1" applyFont="1" applyFill="1" applyBorder="1"/>
    <x:xf numFmtId="0" fontId="24" fillId="70" borderId="0" xfId="0" applyNumberFormat="1" applyFont="1" applyFill="1" applyBorder="1" applyAlignment="1">
      <x:alignment horizontal="left"/>
    </x:xf>
    <x:xf numFmtId="0" fontId="24" fillId="70" borderId="0" xfId="0" applyNumberFormat="1" applyFont="1" applyFill="1" applyBorder="1" applyAlignment="1">
      <x:alignment horizontal="left" vertical="center"/>
    </x:xf>
    <x:xf numFmtId="0" fontId="0" fillId="71" borderId="0" xfId="0" applyNumberFormat="1" applyFont="1" applyFill="1" applyBorder="1"/>
    <x:xf numFmtId="0" fontId="1" fillId="71" borderId="0" xfId="0" applyNumberFormat="1" applyFont="1" applyFill="1" applyBorder="1"/>
    <x:xf numFmtId="0" fontId="1" fillId="71" borderId="1" xfId="0" applyNumberFormat="1" applyFont="1" applyFill="1" applyBorder="1"/>
    <x:xf numFmtId="0" fontId="1" fillId="71" borderId="1" xfId="0" applyNumberFormat="1" applyFont="1" applyFill="1" applyBorder="1" applyAlignment="1">
      <x:alignment wrapText="1"/>
    </x:xf>
    <x:xf numFmtId="0" fontId="1" fillId="71" borderId="1" xfId="0" applyNumberFormat="1" applyFont="1" applyFill="1" applyBorder="1" applyAlignment="1">
      <x:alignment horizontal="center" wrapText="1"/>
    </x:xf>
    <x:xf numFmtId="0" fontId="1" fillId="71" borderId="1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28" fillId="72" borderId="0" xfId="0" applyNumberFormat="1" applyFont="1" applyFill="1" applyBorder="1"/>
    <x:xf numFmtId="0" fontId="28" fillId="72" borderId="5" xfId="0" applyNumberFormat="1" applyFont="1" applyFill="1" applyBorder="1"/>
    <x:xf numFmtId="0" fontId="28" fillId="72" borderId="5" xfId="0" applyNumberFormat="1" applyFont="1" applyFill="1" applyBorder="1" applyAlignment="1">
      <x:alignment wrapText="1"/>
    </x:xf>
    <x:xf numFmtId="0" fontId="28" fillId="72" borderId="5" xfId="0" applyNumberFormat="1" applyFont="1" applyFill="1" applyBorder="1" applyAlignment="1">
      <x:alignment vertical="center" wrapText="1"/>
    </x:xf>
    <x:xf numFmtId="0" fontId="28" fillId="72" borderId="5" xfId="0" applyNumberFormat="1" applyFont="1" applyFill="1" applyBorder="1" applyAlignment="1">
      <x:alignment horizontal="center" vertical="center" wrapText="1"/>
    </x:xf>
    <x:xf numFmtId="0" fontId="28" fillId="72" borderId="5" xfId="0" applyNumberFormat="1" applyFont="1" applyFill="1" applyBorder="1" applyAlignment="1">
      <x:alignment horizontal="left" vertical="center" wrapText="1"/>
    </x:xf>
    <x:xf numFmtId="0" fontId="28" fillId="72" borderId="5" xfId="0" applyNumberFormat="1" applyFont="1" applyFill="1" applyBorder="1" applyAlignment="1">
      <x:alignment horizontal="right" vertical="center" wrapText="1"/>
    </x:xf>
    <x:xf numFmtId="200" fontId="28" fillId="72" borderId="5" xfId="0" applyNumberFormat="1" applyFont="1" applyFill="1" applyBorder="1" applyAlignment="1">
      <x:alignment horizontal="right" vertical="center" wrapText="1"/>
    </x:xf>
    <x:xf numFmtId="0" fontId="0" fillId="70" borderId="0" xfId="0" applyNumberFormat="1" applyFont="1" applyFill="1" applyBorder="1" applyAlignment="1">
      <x:alignment horizontal="center"/>
    </x:xf>
    <x:xf numFmtId="200" fontId="0" fillId="70" borderId="0" xfId="0" applyNumberFormat="1" applyFont="1" applyFill="1" applyBorder="1" applyAlignment="1">
      <x:alignment horizontal="right"/>
    </x:xf>
    <x:xf numFmtId="0" fontId="16" fillId="70" borderId="0" xfId="0" applyNumberFormat="1" applyFont="1" applyFill="1" applyBorder="1"/>
    <x:xf numFmtId="0" fontId="16" fillId="70" borderId="0" xfId="0" applyNumberFormat="1" applyFont="1" applyFill="1" applyBorder="1" applyAlignment="1">
      <x:alignment horizontal="center"/>
    </x:xf>
    <x:xf numFmtId="200" fontId="16" fillId="70" borderId="0" xfId="0" applyNumberFormat="1" applyFont="1" applyFill="1" applyBorder="1" applyAlignment="1">
      <x:alignment horizontal="right"/>
    </x:xf>
    <x:xf numFmtId="0" fontId="16" fillId="70" borderId="8" xfId="0" applyNumberFormat="1" applyFont="1" applyFill="1" applyBorder="1"/>
    <x:xf numFmtId="0" fontId="16" fillId="70" borderId="9" xfId="0" applyNumberFormat="1" applyFont="1" applyFill="1" applyBorder="1"/>
    <x:xf numFmtId="0" fontId="16" fillId="70" borderId="9" xfId="0" applyNumberFormat="1" applyFont="1" applyFill="1" applyBorder="1" applyAlignment="1">
      <x:alignment horizontal="center"/>
    </x:xf>
    <x:xf numFmtId="200" fontId="16" fillId="70" borderId="9" xfId="0" applyNumberFormat="1" applyFont="1" applyFill="1" applyBorder="1" applyAlignment="1">
      <x:alignment horizontal="right"/>
    </x:xf>
    <x:xf numFmtId="0" fontId="16" fillId="70" borderId="10" xfId="0" applyNumberFormat="1" applyFont="1" applyFill="1" applyBorder="1"/>
    <x:xf numFmtId="0" fontId="16" fillId="70" borderId="8" xfId="0" applyNumberFormat="1" applyFont="1" applyFill="1" applyBorder="1" applyAlignment="1">
      <x:alignment vertical="center"/>
    </x:xf>
    <x:xf numFmtId="0" fontId="16" fillId="70" borderId="9" xfId="0" applyNumberFormat="1" applyFont="1" applyFill="1" applyBorder="1" applyAlignment="1">
      <x:alignment vertical="center"/>
    </x:xf>
    <x:xf numFmtId="0" fontId="16" fillId="70" borderId="9" xfId="0" applyNumberFormat="1" applyFont="1" applyFill="1" applyBorder="1" applyAlignment="1">
      <x:alignment horizontal="center" vertical="center"/>
    </x:xf>
    <x:xf numFmtId="200" fontId="16" fillId="70" borderId="9" xfId="0" applyNumberFormat="1" applyFont="1" applyFill="1" applyBorder="1" applyAlignment="1">
      <x:alignment horizontal="right" vertical="center"/>
    </x:xf>
    <x:xf numFmtId="0" fontId="16" fillId="70" borderId="10" xfId="0" applyNumberFormat="1" applyFont="1" applyFill="1" applyBorder="1" applyAlignment="1">
      <x:alignment vertical="center"/>
    </x:xf>
    <x:xf numFmtId="0" fontId="16" fillId="70" borderId="8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16" fillId="72" borderId="11" xfId="0" applyNumberFormat="1" applyFont="1" applyFill="1" applyBorder="1" applyAlignment="1">
      <x:alignment horizontal="center" vertical="center"/>
    </x:xf>
    <x:xf numFmtId="0" fontId="16" fillId="72" borderId="12" xfId="0" applyNumberFormat="1" applyFont="1" applyFill="1" applyBorder="1" applyAlignment="1">
      <x:alignment horizontal="center" vertical="center"/>
    </x:xf>
    <x:xf numFmtId="200" fontId="16" fillId="72" borderId="12" xfId="0" applyNumberFormat="1" applyFont="1" applyFill="1" applyBorder="1" applyAlignment="1">
      <x:alignment horizontal="right" vertical="center"/>
    </x:xf>
    <x:xf numFmtId="0" fontId="16" fillId="72" borderId="13" xfId="0" applyNumberFormat="1" applyFont="1" applyFill="1" applyBorder="1" applyAlignment="1">
      <x:alignment horizontal="left" vertical="center"/>
    </x:xf>
    <x:xf numFmtId="202" fontId="0" fillId="72" borderId="0" xfId="0" applyNumberFormat="1" applyFont="1" applyFill="1" applyBorder="1"/>
    <x:xf numFmtId="200" fontId="0" fillId="72" borderId="0" xfId="0" applyNumberFormat="1" applyFont="1" applyFill="1" applyBorder="1"/>
    <x:xf numFmtId="202" fontId="28" fillId="72" borderId="11" xfId="0" applyNumberFormat="1" applyFont="1" applyFill="1" applyBorder="1" applyAlignment="1">
      <x:alignment horizontal="center" vertical="center"/>
    </x:xf>
    <x:xf numFmtId="0" fontId="28" fillId="72" borderId="12" xfId="0" applyNumberFormat="1" applyFont="1" applyFill="1" applyBorder="1" applyAlignment="1">
      <x:alignment horizontal="center" vertical="center"/>
    </x:xf>
    <x:xf numFmtId="200" fontId="28" fillId="72" borderId="12" xfId="0" applyNumberFormat="1" applyFont="1" applyFill="1" applyBorder="1" applyAlignment="1">
      <x:alignment horizontal="right" vertical="center"/>
    </x:xf>
    <x:xf numFmtId="0" fontId="28" fillId="72" borderId="13" xfId="0" applyNumberFormat="1" applyFont="1" applyFill="1" applyBorder="1" applyAlignment="1">
      <x:alignment horizontal="left" vertical="center"/>
    </x:xf>
    <x:xf numFmtId="202" fontId="28" fillId="72" borderId="0" xfId="0" applyNumberFormat="1" applyFont="1" applyFill="1" applyBorder="1"/>
    <x:xf numFmtId="200" fontId="28" fillId="72" borderId="0" xfId="0" applyNumberFormat="1" applyFont="1" applyFill="1" applyBorder="1"/>
    <x:xf numFmtId="202" fontId="28" fillId="72" borderId="1" xfId="0" applyNumberFormat="1" applyFont="1" applyFill="1" applyBorder="1" applyAlignment="1">
      <x:alignment horizontal="center" vertical="center"/>
    </x:xf>
    <x:xf numFmtId="0" fontId="28" fillId="72" borderId="1" xfId="0" applyNumberFormat="1" applyFont="1" applyFill="1" applyBorder="1" applyAlignment="1">
      <x:alignment horizontal="center" vertical="center"/>
    </x:xf>
    <x:xf numFmtId="200" fontId="28" fillId="72" borderId="1" xfId="0" applyNumberFormat="1" applyFont="1" applyFill="1" applyBorder="1" applyAlignment="1">
      <x:alignment horizontal="right" vertical="center"/>
    </x:xf>
    <x:xf numFmtId="0" fontId="28" fillId="72" borderId="1" xfId="0" applyNumberFormat="1" applyFont="1" applyFill="1" applyBorder="1" applyAlignment="1">
      <x:alignment horizontal="left" vertical="center"/>
    </x:xf>
    <x:xf numFmtId="202" fontId="28" fillId="72" borderId="1" xfId="0" applyNumberFormat="1" applyFont="1" applyFill="1" applyBorder="1"/>
    <x:xf numFmtId="0" fontId="28" fillId="72" borderId="1" xfId="0" applyNumberFormat="1" applyFont="1" applyFill="1" applyBorder="1"/>
    <x:xf numFmtId="200" fontId="28" fillId="72" borderId="1" xfId="0" applyNumberFormat="1" applyFont="1" applyFill="1" applyBorder="1"/>
    <x:xf numFmtId="202" fontId="28" fillId="72" borderId="1" xfId="0" applyNumberFormat="1" applyFont="1" applyFill="1" applyBorder="1" applyAlignment="1">
      <x:alignment vertical="center"/>
    </x:xf>
    <x:xf numFmtId="0" fontId="28" fillId="72" borderId="1" xfId="0" applyNumberFormat="1" applyFont="1" applyFill="1" applyBorder="1" applyAlignment="1">
      <x:alignment vertical="center"/>
    </x:xf>
    <x:xf numFmtId="200" fontId="28" fillId="72" borderId="1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200" fontId="0" fillId="73" borderId="0" xfId="0" applyNumberFormat="1" applyFont="1" applyFill="1" applyBorder="1"/>
    <x:xf numFmtId="0" fontId="16" fillId="73" borderId="0" xfId="0" applyNumberFormat="1" applyFont="1" applyFill="1" applyBorder="1"/>
    <x:xf numFmtId="200" fontId="16" fillId="73" borderId="0" xfId="0" applyNumberFormat="1" applyFont="1" applyFill="1" applyBorder="1"/>
    <x:xf numFmtId="0" fontId="16" fillId="73" borderId="11" xfId="0" applyNumberFormat="1" applyFont="1" applyFill="1" applyBorder="1"/>
    <x:xf numFmtId="0" fontId="16" fillId="73" borderId="12" xfId="0" applyNumberFormat="1" applyFont="1" applyFill="1" applyBorder="1"/>
    <x:xf numFmtId="200" fontId="16" fillId="73" borderId="12" xfId="0" applyNumberFormat="1" applyFont="1" applyFill="1" applyBorder="1"/>
    <x:xf numFmtId="0" fontId="16" fillId="73" borderId="13" xfId="0" applyNumberFormat="1" applyFont="1" applyFill="1" applyBorder="1"/>
    <x:xf numFmtId="0" fontId="16" fillId="73" borderId="11" xfId="0" applyNumberFormat="1" applyFont="1" applyFill="1" applyBorder="1" applyAlignment="1">
      <x:alignment vertical="center"/>
    </x:xf>
    <x:xf numFmtId="0" fontId="16" fillId="73" borderId="12" xfId="0" applyNumberFormat="1" applyFont="1" applyFill="1" applyBorder="1" applyAlignment="1">
      <x:alignment vertical="center"/>
    </x:xf>
    <x:xf numFmtId="200" fontId="16" fillId="73" borderId="12" xfId="0" applyNumberFormat="1" applyFont="1" applyFill="1" applyBorder="1" applyAlignment="1">
      <x:alignment vertical="center"/>
    </x:xf>
    <x:xf numFmtId="0" fontId="16" fillId="73" borderId="13" xfId="0" applyNumberFormat="1" applyFont="1" applyFill="1" applyBorder="1" applyAlignment="1">
      <x:alignment vertical="center"/>
    </x:xf>
    <x:xf numFmtId="0" fontId="16" fillId="73" borderId="11" xfId="0" applyNumberFormat="1" applyFont="1" applyFill="1" applyBorder="1" applyAlignment="1">
      <x:alignment horizontal="center" vertical="center"/>
    </x:xf>
    <x:xf numFmtId="0" fontId="16" fillId="73" borderId="12" xfId="0" applyNumberFormat="1" applyFont="1" applyFill="1" applyBorder="1" applyAlignment="1">
      <x:alignment horizontal="center" vertical="center"/>
    </x:xf>
    <x:xf numFmtId="200" fontId="16" fillId="73" borderId="12" xfId="0" applyNumberFormat="1" applyFont="1" applyFill="1" applyBorder="1" applyAlignment="1">
      <x:alignment horizontal="right" vertical="center"/>
    </x:xf>
    <x:xf numFmtId="0" fontId="16" fillId="73" borderId="13" xfId="0" applyNumberFormat="1" applyFont="1" applyFill="1" applyBorder="1" applyAlignment="1">
      <x:alignment horizontal="left" vertical="center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1" fillId="74" borderId="0" xfId="0" applyNumberFormat="1" applyFont="1" applyFill="1" applyBorder="1" applyAlignment="1">
      <x:alignment horizontal="center"/>
    </x:xf>
    <x:xf numFmtId="0" fontId="1" fillId="74" borderId="0" xfId="0" applyNumberFormat="1" applyFont="1" applyFill="1" applyBorder="1" applyAlignment="1">
      <x:alignment horizontal="center" vertical="center"/>
    </x:xf>
    <x:xf numFmtId="0" fontId="0" fillId="75" borderId="0" xfId="0" applyNumberFormat="1" applyFont="1" applyFill="1" applyBorder="1"/>
    <x:xf numFmtId="0" fontId="24" fillId="75" borderId="0" xfId="0" applyNumberFormat="1" applyFont="1" applyFill="1" applyBorder="1"/>
    <x:xf numFmtId="0" fontId="24" fillId="75" borderId="0" xfId="0" applyNumberFormat="1" applyFont="1" applyFill="1" applyBorder="1" applyAlignment="1">
      <x:alignment horizontal="left"/>
    </x:xf>
    <x:xf numFmtId="0" fontId="24" fillId="75" borderId="0" xfId="0" applyNumberFormat="1" applyFont="1" applyFill="1" applyBorder="1" applyAlignment="1">
      <x:alignment horizontal="left" vertical="center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1" fillId="76" borderId="1" xfId="0" applyNumberFormat="1" applyFont="1" applyFill="1" applyBorder="1"/>
    <x:xf numFmtId="0" fontId="1" fillId="76" borderId="1" xfId="0" applyNumberFormat="1" applyFont="1" applyFill="1" applyBorder="1" applyAlignment="1">
      <x:alignment wrapText="1"/>
    </x:xf>
    <x:xf numFmtId="0" fontId="1" fillId="76" borderId="1" xfId="0" applyNumberFormat="1" applyFont="1" applyFill="1" applyBorder="1" applyAlignment="1">
      <x:alignment horizontal="center" wrapText="1"/>
    </x:xf>
    <x:xf numFmtId="0" fontId="1" fillId="76" borderId="1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29" fillId="77" borderId="0" xfId="0" applyNumberFormat="1" applyFont="1" applyFill="1" applyBorder="1"/>
    <x:xf numFmtId="0" fontId="29" fillId="77" borderId="5" xfId="0" applyNumberFormat="1" applyFont="1" applyFill="1" applyBorder="1"/>
    <x:xf numFmtId="0" fontId="29" fillId="77" borderId="5" xfId="0" applyNumberFormat="1" applyFont="1" applyFill="1" applyBorder="1" applyAlignment="1">
      <x:alignment wrapText="1"/>
    </x:xf>
    <x:xf numFmtId="0" fontId="29" fillId="77" borderId="5" xfId="0" applyNumberFormat="1" applyFont="1" applyFill="1" applyBorder="1" applyAlignment="1">
      <x:alignment vertical="center" wrapText="1"/>
    </x:xf>
    <x:xf numFmtId="0" fontId="29" fillId="77" borderId="5" xfId="0" applyNumberFormat="1" applyFont="1" applyFill="1" applyBorder="1" applyAlignment="1">
      <x:alignment horizontal="center" vertical="center" wrapText="1"/>
    </x:xf>
    <x:xf numFmtId="0" fontId="29" fillId="77" borderId="5" xfId="0" applyNumberFormat="1" applyFont="1" applyFill="1" applyBorder="1" applyAlignment="1">
      <x:alignment horizontal="left" vertical="center" wrapText="1"/>
    </x:xf>
    <x:xf numFmtId="0" fontId="29" fillId="77" borderId="5" xfId="0" applyNumberFormat="1" applyFont="1" applyFill="1" applyBorder="1" applyAlignment="1">
      <x:alignment horizontal="right" vertical="center" wrapText="1"/>
    </x:xf>
    <x:xf numFmtId="200" fontId="29" fillId="77" borderId="5" xfId="0" applyNumberFormat="1" applyFont="1" applyFill="1" applyBorder="1" applyAlignment="1">
      <x:alignment horizontal="right" vertical="center" wrapText="1"/>
    </x:xf>
    <x:xf numFmtId="0" fontId="0" fillId="75" borderId="0" xfId="0" applyNumberFormat="1" applyFont="1" applyFill="1" applyBorder="1" applyAlignment="1">
      <x:alignment horizontal="center"/>
    </x:xf>
    <x:xf numFmtId="200" fontId="0" fillId="75" borderId="0" xfId="0" applyNumberFormat="1" applyFont="1" applyFill="1" applyBorder="1" applyAlignment="1">
      <x:alignment horizontal="right"/>
    </x:xf>
    <x:xf numFmtId="0" fontId="16" fillId="75" borderId="0" xfId="0" applyNumberFormat="1" applyFont="1" applyFill="1" applyBorder="1"/>
    <x:xf numFmtId="0" fontId="16" fillId="75" borderId="0" xfId="0" applyNumberFormat="1" applyFont="1" applyFill="1" applyBorder="1" applyAlignment="1">
      <x:alignment horizontal="center"/>
    </x:xf>
    <x:xf numFmtId="200" fontId="16" fillId="75" borderId="0" xfId="0" applyNumberFormat="1" applyFont="1" applyFill="1" applyBorder="1" applyAlignment="1">
      <x:alignment horizontal="right"/>
    </x:xf>
    <x:xf numFmtId="0" fontId="16" fillId="75" borderId="8" xfId="0" applyNumberFormat="1" applyFont="1" applyFill="1" applyBorder="1"/>
    <x:xf numFmtId="0" fontId="16" fillId="75" borderId="9" xfId="0" applyNumberFormat="1" applyFont="1" applyFill="1" applyBorder="1"/>
    <x:xf numFmtId="0" fontId="16" fillId="75" borderId="9" xfId="0" applyNumberFormat="1" applyFont="1" applyFill="1" applyBorder="1" applyAlignment="1">
      <x:alignment horizontal="center"/>
    </x:xf>
    <x:xf numFmtId="200" fontId="16" fillId="75" borderId="9" xfId="0" applyNumberFormat="1" applyFont="1" applyFill="1" applyBorder="1" applyAlignment="1">
      <x:alignment horizontal="right"/>
    </x:xf>
    <x:xf numFmtId="0" fontId="16" fillId="75" borderId="10" xfId="0" applyNumberFormat="1" applyFont="1" applyFill="1" applyBorder="1"/>
    <x:xf numFmtId="0" fontId="16" fillId="75" borderId="8" xfId="0" applyNumberFormat="1" applyFont="1" applyFill="1" applyBorder="1" applyAlignment="1">
      <x:alignment vertical="center"/>
    </x:xf>
    <x:xf numFmtId="0" fontId="16" fillId="75" borderId="9" xfId="0" applyNumberFormat="1" applyFont="1" applyFill="1" applyBorder="1" applyAlignment="1">
      <x:alignment vertical="center"/>
    </x:xf>
    <x:xf numFmtId="0" fontId="16" fillId="75" borderId="9" xfId="0" applyNumberFormat="1" applyFont="1" applyFill="1" applyBorder="1" applyAlignment="1">
      <x:alignment horizontal="center" vertical="center"/>
    </x:xf>
    <x:xf numFmtId="200" fontId="16" fillId="75" borderId="9" xfId="0" applyNumberFormat="1" applyFont="1" applyFill="1" applyBorder="1" applyAlignment="1">
      <x:alignment horizontal="right" vertical="center"/>
    </x:xf>
    <x:xf numFmtId="0" fontId="16" fillId="75" borderId="10" xfId="0" applyNumberFormat="1" applyFont="1" applyFill="1" applyBorder="1" applyAlignment="1">
      <x:alignment vertical="center"/>
    </x:xf>
    <x:xf numFmtId="0" fontId="16" fillId="75" borderId="8" xfId="0" applyNumberFormat="1" applyFont="1" applyFill="1" applyBorder="1" applyAlignment="1">
      <x:alignment horizontal="center" vertical="center"/>
    </x:xf>
    <x:xf numFmtId="202" fontId="16" fillId="77" borderId="11" xfId="0" applyNumberFormat="1" applyFont="1" applyFill="1" applyBorder="1" applyAlignment="1">
      <x:alignment horizontal="center" vertical="center"/>
    </x:xf>
    <x:xf numFmtId="0" fontId="16" fillId="77" borderId="12" xfId="0" applyNumberFormat="1" applyFont="1" applyFill="1" applyBorder="1" applyAlignment="1">
      <x:alignment horizontal="center" vertical="center"/>
    </x:xf>
    <x:xf numFmtId="200" fontId="16" fillId="77" borderId="12" xfId="0" applyNumberFormat="1" applyFont="1" applyFill="1" applyBorder="1" applyAlignment="1">
      <x:alignment horizontal="right" vertical="center"/>
    </x:xf>
    <x:xf numFmtId="0" fontId="16" fillId="77" borderId="13" xfId="0" applyNumberFormat="1" applyFont="1" applyFill="1" applyBorder="1" applyAlignment="1">
      <x:alignment horizontal="left" vertical="center"/>
    </x:xf>
    <x:xf numFmtId="202" fontId="0" fillId="77" borderId="0" xfId="0" applyNumberFormat="1" applyFont="1" applyFill="1" applyBorder="1"/>
    <x:xf numFmtId="200" fontId="0" fillId="77" borderId="0" xfId="0" applyNumberFormat="1" applyFont="1" applyFill="1" applyBorder="1"/>
    <x:xf numFmtId="202" fontId="29" fillId="77" borderId="11" xfId="0" applyNumberFormat="1" applyFont="1" applyFill="1" applyBorder="1" applyAlignment="1">
      <x:alignment horizontal="center" vertical="center"/>
    </x:xf>
    <x:xf numFmtId="0" fontId="29" fillId="77" borderId="12" xfId="0" applyNumberFormat="1" applyFont="1" applyFill="1" applyBorder="1" applyAlignment="1">
      <x:alignment horizontal="center" vertical="center"/>
    </x:xf>
    <x:xf numFmtId="200" fontId="29" fillId="77" borderId="12" xfId="0" applyNumberFormat="1" applyFont="1" applyFill="1" applyBorder="1" applyAlignment="1">
      <x:alignment horizontal="right" vertical="center"/>
    </x:xf>
    <x:xf numFmtId="0" fontId="29" fillId="77" borderId="13" xfId="0" applyNumberFormat="1" applyFont="1" applyFill="1" applyBorder="1" applyAlignment="1">
      <x:alignment horizontal="left" vertical="center"/>
    </x:xf>
    <x:xf numFmtId="202" fontId="29" fillId="77" borderId="0" xfId="0" applyNumberFormat="1" applyFont="1" applyFill="1" applyBorder="1"/>
    <x:xf numFmtId="200" fontId="29" fillId="77" borderId="0" xfId="0" applyNumberFormat="1" applyFont="1" applyFill="1" applyBorder="1"/>
    <x:xf numFmtId="202" fontId="29" fillId="77" borderId="1" xfId="0" applyNumberFormat="1" applyFont="1" applyFill="1" applyBorder="1" applyAlignment="1">
      <x:alignment horizontal="center" vertical="center"/>
    </x:xf>
    <x:xf numFmtId="0" fontId="29" fillId="77" borderId="1" xfId="0" applyNumberFormat="1" applyFont="1" applyFill="1" applyBorder="1" applyAlignment="1">
      <x:alignment horizontal="center" vertical="center"/>
    </x:xf>
    <x:xf numFmtId="200" fontId="29" fillId="77" borderId="1" xfId="0" applyNumberFormat="1" applyFont="1" applyFill="1" applyBorder="1" applyAlignment="1">
      <x:alignment horizontal="right" vertical="center"/>
    </x:xf>
    <x:xf numFmtId="0" fontId="29" fillId="77" borderId="1" xfId="0" applyNumberFormat="1" applyFont="1" applyFill="1" applyBorder="1" applyAlignment="1">
      <x:alignment horizontal="left" vertical="center"/>
    </x:xf>
    <x:xf numFmtId="202" fontId="29" fillId="77" borderId="1" xfId="0" applyNumberFormat="1" applyFont="1" applyFill="1" applyBorder="1"/>
    <x:xf numFmtId="0" fontId="29" fillId="77" borderId="1" xfId="0" applyNumberFormat="1" applyFont="1" applyFill="1" applyBorder="1"/>
    <x:xf numFmtId="200" fontId="29" fillId="77" borderId="1" xfId="0" applyNumberFormat="1" applyFont="1" applyFill="1" applyBorder="1"/>
    <x:xf numFmtId="202" fontId="29" fillId="77" borderId="1" xfId="0" applyNumberFormat="1" applyFont="1" applyFill="1" applyBorder="1" applyAlignment="1">
      <x:alignment vertical="center"/>
    </x:xf>
    <x:xf numFmtId="0" fontId="29" fillId="77" borderId="1" xfId="0" applyNumberFormat="1" applyFont="1" applyFill="1" applyBorder="1" applyAlignment="1">
      <x:alignment vertical="center"/>
    </x:xf>
    <x:xf numFmtId="200" fontId="29" fillId="77" borderId="1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200" fontId="0" fillId="78" borderId="0" xfId="0" applyNumberFormat="1" applyFont="1" applyFill="1" applyBorder="1"/>
    <x:xf numFmtId="0" fontId="16" fillId="78" borderId="0" xfId="0" applyNumberFormat="1" applyFont="1" applyFill="1" applyBorder="1"/>
    <x:xf numFmtId="200" fontId="16" fillId="78" borderId="0" xfId="0" applyNumberFormat="1" applyFont="1" applyFill="1" applyBorder="1"/>
    <x:xf numFmtId="0" fontId="16" fillId="78" borderId="11" xfId="0" applyNumberFormat="1" applyFont="1" applyFill="1" applyBorder="1"/>
    <x:xf numFmtId="0" fontId="16" fillId="78" borderId="12" xfId="0" applyNumberFormat="1" applyFont="1" applyFill="1" applyBorder="1"/>
    <x:xf numFmtId="200" fontId="16" fillId="78" borderId="12" xfId="0" applyNumberFormat="1" applyFont="1" applyFill="1" applyBorder="1"/>
    <x:xf numFmtId="0" fontId="16" fillId="78" borderId="13" xfId="0" applyNumberFormat="1" applyFont="1" applyFill="1" applyBorder="1"/>
    <x:xf numFmtId="0" fontId="16" fillId="78" borderId="11" xfId="0" applyNumberFormat="1" applyFont="1" applyFill="1" applyBorder="1" applyAlignment="1">
      <x:alignment vertical="center"/>
    </x:xf>
    <x:xf numFmtId="0" fontId="16" fillId="78" borderId="12" xfId="0" applyNumberFormat="1" applyFont="1" applyFill="1" applyBorder="1" applyAlignment="1">
      <x:alignment vertical="center"/>
    </x:xf>
    <x:xf numFmtId="200" fontId="16" fillId="78" borderId="12" xfId="0" applyNumberFormat="1" applyFont="1" applyFill="1" applyBorder="1" applyAlignment="1">
      <x:alignment vertical="center"/>
    </x:xf>
    <x:xf numFmtId="0" fontId="16" fillId="78" borderId="13" xfId="0" applyNumberFormat="1" applyFont="1" applyFill="1" applyBorder="1" applyAlignment="1">
      <x:alignment vertical="center"/>
    </x:xf>
    <x:xf numFmtId="0" fontId="16" fillId="78" borderId="11" xfId="0" applyNumberFormat="1" applyFont="1" applyFill="1" applyBorder="1" applyAlignment="1">
      <x:alignment horizontal="center" vertical="center"/>
    </x:xf>
    <x:xf numFmtId="0" fontId="16" fillId="78" borderId="12" xfId="0" applyNumberFormat="1" applyFont="1" applyFill="1" applyBorder="1" applyAlignment="1">
      <x:alignment horizontal="center" vertical="center"/>
    </x:xf>
    <x:xf numFmtId="200" fontId="16" fillId="78" borderId="12" xfId="0" applyNumberFormat="1" applyFont="1" applyFill="1" applyBorder="1" applyAlignment="1">
      <x:alignment horizontal="right" vertical="center"/>
    </x:xf>
    <x:xf numFmtId="0" fontId="16" fillId="78" borderId="13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a61b3ce4a4a47" /><Relationship Type="http://schemas.openxmlformats.org/officeDocument/2006/relationships/theme" Target="/xl/theme/theme1.xml" Id="R1caa329993bb4910" /><Relationship Type="http://schemas.openxmlformats.org/officeDocument/2006/relationships/sharedStrings" Target="/xl/sharedStrings.xml" Id="R56179d556b744365" /><Relationship Type="http://schemas.openxmlformats.org/officeDocument/2006/relationships/worksheet" Target="/xl/worksheets/sheet1.xml" Id="R1084e13719fb46d2" /><Relationship Type="http://schemas.openxmlformats.org/officeDocument/2006/relationships/worksheet" Target="/xl/worksheets/sheet2.xml" Id="R87f2616367464519" /><Relationship Type="http://schemas.openxmlformats.org/officeDocument/2006/relationships/worksheet" Target="/xl/worksheets/sheet3.xml" Id="R2beb8cb55ad64986" /><Relationship Type="http://schemas.openxmlformats.org/officeDocument/2006/relationships/worksheet" Target="/xl/worksheets/sheet4.xml" Id="R61cc8384b83e4138" /><Relationship Type="http://schemas.openxmlformats.org/officeDocument/2006/relationships/worksheet" Target="/xl/worksheets/sheet5.xml" Id="Ra3cccc528ad94395" /><Relationship Type="http://schemas.openxmlformats.org/officeDocument/2006/relationships/worksheet" Target="/xl/worksheets/sheet6.xml" Id="R7a3afd37be5e42a8" /><Relationship Type="http://schemas.openxmlformats.org/officeDocument/2006/relationships/worksheet" Target="/xl/worksheets/sheet7.xml" Id="R8d7f7bfaa16c4f00" /><Relationship Type="http://schemas.openxmlformats.org/officeDocument/2006/relationships/worksheet" Target="/xl/worksheets/sheet8.xml" Id="R4a83fe2412764fa0" /><Relationship Type="http://schemas.openxmlformats.org/officeDocument/2006/relationships/worksheet" Target="/xl/worksheets/sheet9.xml" Id="Rddeb41cfde2b412d" /><Relationship Type="http://schemas.openxmlformats.org/officeDocument/2006/relationships/worksheet" Target="/xl/worksheets/sheet10.xml" Id="Rb519b17b08104888" /><Relationship Type="http://schemas.openxmlformats.org/officeDocument/2006/relationships/worksheet" Target="/xl/worksheets/sheet11.xml" Id="R758cea5744c04a8a" /><Relationship Type="http://schemas.openxmlformats.org/officeDocument/2006/relationships/worksheet" Target="/xl/worksheets/sheet12.xml" Id="R85ee919e89ec4d51" /><Relationship Type="http://schemas.openxmlformats.org/officeDocument/2006/relationships/worksheet" Target="/xl/worksheets/sheet13.xml" Id="R4caa91a8e72449e0" /><Relationship Type="http://schemas.openxmlformats.org/officeDocument/2006/relationships/worksheet" Target="/xl/worksheets/sheet14.xml" Id="Rf894ddf71deb45c5" /><Relationship Type="http://schemas.openxmlformats.org/officeDocument/2006/relationships/worksheet" Target="/xl/worksheets/sheet15.xml" Id="R644d57b9b91e47ff" /><Relationship Type="http://schemas.openxmlformats.org/officeDocument/2006/relationships/worksheet" Target="/xl/worksheets/sheet16.xml" Id="R64df2bb374ab45e8" /><Relationship Type="http://schemas.openxmlformats.org/officeDocument/2006/relationships/worksheet" Target="/xl/worksheets/sheet17.xml" Id="R81aaada94ca8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10" hidden="0" customWidth="1"/>
    <x:col min="5" max="5" width="13" hidden="0" customWidth="1"/>
    <x:col min="6" max="6" width="14" hidden="0" customWidth="1"/>
    <x:col min="7" max="7" width="25" hidden="0" customWidth="1"/>
    <x:col min="8" max="8" width="48" hidden="0" customWidth="1"/>
  </x:cols>
  <x:sheetData>
    <x:row r="1" ht="32" customHeight="1">
      <x:c r="A1" s="4" t="str">
        <x:v>2026-07-13 采购清单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采购日期：2026-07-13</x:v>
      </x:c>
      <x:c r="B2" s="7"/>
      <x:c r="C2" s="7"/>
      <x:c r="D2" s="7"/>
      <x:c r="E2" s="7"/>
      <x:c r="F2" s="7"/>
      <x:c r="G2" s="7"/>
      <x:c r="H2" s="7"/>
    </x:row>
    <x:row r="3" ht="26" customHeight="1">
      <x:c r="A3" s="13" t="str">
        <x:v>序号</x:v>
      </x:c>
      <x:c r="B3" s="13" t="str">
        <x:v>商品名称</x:v>
      </x:c>
      <x:c r="C3" s="13" t="str">
        <x:v>规格/型号</x:v>
      </x:c>
      <x:c r="D3" s="13" t="str">
        <x:v>数量</x:v>
      </x:c>
      <x:c r="E3" s="13" t="str">
        <x:v>单价（元）</x:v>
      </x:c>
      <x:c r="F3" s="13" t="str">
        <x:v>金额（元）</x:v>
      </x:c>
      <x:c r="G3" s="13" t="str">
        <x:v>店铺</x:v>
      </x:c>
      <x:c r="H3" s="13" t="str">
        <x:v>备注</x:v>
      </x:c>
    </x:row>
    <x:row r="4" ht="30" customHeight="1">
      <x:c r="A4" s="18" t="n">
        <x:v>1</x:v>
      </x:c>
      <x:c r="B4" s="17" t="str">
        <x:v>绿林高纯度锡丝</x:v>
      </x:c>
      <x:c r="C4" s="17" t="str">
        <x:v>自带松香/无铅低温</x:v>
      </x:c>
      <x:c r="D4" s="18" t="n">
        <x:v>1</x:v>
      </x:c>
      <x:c r="E4" s="20" t="n">
        <x:v>15.8</x:v>
      </x:c>
      <x:c r="F4" s="20" t="n">
        <x:f>IF(D4="",E4,D4*E4)</x:f>
        <x:v>15.8</x:v>
      </x:c>
      <x:c r="G4" s="17" t="str">
        <x:v>绿林官方旗舰店</x:v>
      </x:c>
      <x:c r="H4" s="17" t="str"/>
    </x:row>
    <x:row r="5" ht="30" customHeight="1">
      <x:c r="A5" s="18" t="n">
        <x:v>2</x:v>
      </x:c>
      <x:c r="B5" s="17" t="str">
        <x:v>绿林烙铁头（刀头）</x:v>
      </x:c>
      <x:c r="C5" s="17" t="str">
        <x:v>通用936内热式</x:v>
      </x:c>
      <x:c r="D5" s="18" t="n">
        <x:v>4</x:v>
      </x:c>
      <x:c r="E5" s="20" t="n">
        <x:v>2.61</x:v>
      </x:c>
      <x:c r="F5" s="20" t="n">
        <x:f>IF(D5="",E5,D5*E5)</x:f>
        <x:v>10.44</x:v>
      </x:c>
      <x:c r="G5" s="17" t="str">
        <x:v>绿林官方旗舰店</x:v>
      </x:c>
      <x:c r="H5" s="17" t="str">
        <x:v>原备注：14</x:v>
      </x:c>
    </x:row>
    <x:row r="6" ht="30" customHeight="1">
      <x:c r="A6" s="18" t="n">
        <x:v>3</x:v>
      </x:c>
      <x:c r="B6" s="17" t="str">
        <x:v>绿林电烙铁</x:v>
      </x:c>
      <x:c r="C6" s="17" t="str">
        <x:v>60W可调温</x:v>
      </x:c>
      <x:c r="D6" s="18" t="n">
        <x:v>1</x:v>
      </x:c>
      <x:c r="E6" s="20" t="n">
        <x:v>25.8</x:v>
      </x:c>
      <x:c r="F6" s="20" t="n">
        <x:f>IF(D6="",E6,D6*E6)</x:f>
        <x:v>25.8</x:v>
      </x:c>
      <x:c r="G6" s="17" t="str">
        <x:v>绿林官方旗舰店</x:v>
      </x:c>
      <x:c r="H6" s="17" t="str"/>
    </x:row>
    <x:row r="7" ht="30" customHeight="1">
      <x:c r="A7" s="18" t="n">
        <x:v>4</x:v>
      </x:c>
      <x:c r="B7" s="17" t="str">
        <x:v>80W航模平衡充电器</x:v>
      </x:c>
      <x:c r="C7" s="17" t="str">
        <x:v>BT2.0第3版/支持1-6S</x:v>
      </x:c>
      <x:c r="D7" s="18" t="n">
        <x:v>1</x:v>
      </x:c>
      <x:c r="E7" s="20" t="n">
        <x:v>149.9</x:v>
      </x:c>
      <x:c r="F7" s="20" t="n">
        <x:f>IF(D7="",E7,D7*E7)</x:f>
        <x:v>149.9</x:v>
      </x:c>
      <x:c r="G7" s="17" t="str">
        <x:v>零轴电子科技企业店</x:v>
      </x:c>
      <x:c r="H7" s="17" t="str">
        <x:v>原备注：14</x:v>
      </x:c>
    </x:row>
    <x:row r="8" ht="30" customHeight="1">
      <x:c r="A8" s="18" t="n">
        <x:v>5</x:v>
      </x:c>
      <x:c r="B8" s="17" t="str">
        <x:v>XT60 Hub分电板</x:v>
      </x:c>
      <x:c r="C8" s="17" t="str">
        <x:v>一拖四扩展板/集线器</x:v>
      </x:c>
      <x:c r="D8" s="18" t="n">
        <x:v>1</x:v>
      </x:c>
      <x:c r="E8" s="20" t="n">
        <x:v>29.9</x:v>
      </x:c>
      <x:c r="F8" s="20" t="n">
        <x:f>IF(D8="",E8,D8*E8)</x:f>
        <x:v>29.9</x:v>
      </x:c>
      <x:c r="G8" s="17" t="str">
        <x:v>Autoro电子科技</x:v>
      </x:c>
      <x:c r="H8" s="17" t="str">
        <x:v>原备注：14</x:v>
      </x:c>
    </x:row>
    <x:row r="9" ht="30" customHeight="1">
      <x:c r="A9" s="18" t="n">
        <x:v>6</x:v>
      </x:c>
      <x:c r="B9" s="17" t="str">
        <x:v>博立方电源模块</x:v>
      </x:c>
      <x:c r="C9" s="17" t="str">
        <x:v>支持2S-12S/带5.3V BEC/XT60</x:v>
      </x:c>
      <x:c r="D9" s="18" t="n">
        <x:v>1</x:v>
      </x:c>
      <x:c r="E9" s="20" t="n">
        <x:v>71.24</x:v>
      </x:c>
      <x:c r="F9" s="20" t="n">
        <x:f>IF(D9="",E9,D9*E9)</x:f>
        <x:v>71.24</x:v>
      </x:c>
      <x:c r="G9" s="17" t="str">
        <x:v>博立方无人机企业店</x:v>
      </x:c>
      <x:c r="H9" s="17" t="str">
        <x:v>原备注：14</x:v>
      </x:c>
    </x:row>
    <x:row r="10" ht="30" customHeight="1">
      <x:c r="A10" s="18" t="n">
        <x:v>7</x:v>
      </x:c>
      <x:c r="B10" s="17" t="str">
        <x:v>航模锂电池</x:v>
      </x:c>
      <x:c r="C10" s="17" t="str">
        <x:v>14.8V 5000mAh 长条</x:v>
      </x:c>
      <x:c r="D10" s="18" t="n">
        <x:v>1</x:v>
      </x:c>
      <x:c r="E10" s="20" t="n">
        <x:v>74.82</x:v>
      </x:c>
      <x:c r="F10" s="20" t="n">
        <x:f>IF(D10="",E10,D10*E10)</x:f>
        <x:v>74.82</x:v>
      </x:c>
      <x:c r="G10" s="17" t="str">
        <x:v>阳河科技</x:v>
      </x:c>
      <x:c r="H10" s="17" t="str">
        <x:v>5000mAh仅做调试使用，后续再选择大容量电池</x:v>
      </x:c>
    </x:row>
    <x:row r="11" ht="30" customHeight="1">
      <x:c r="A11" s="18" t="n">
        <x:v>8</x:v>
      </x:c>
      <x:c r="B11" s="17" t="str">
        <x:v>水下测距传感器</x:v>
      </x:c>
      <x:c r="C11" s="17" t="str">
        <x:v>3米量程/8-800cm</x:v>
      </x:c>
      <x:c r="D11" s="18" t="n">
        <x:v>1</x:v>
      </x:c>
      <x:c r="E11" s="20" t="n">
        <x:v>103</x:v>
      </x:c>
      <x:c r="F11" s="20" t="n">
        <x:f>IF(D11="",E11,D11*E11)</x:f>
        <x:v>103</x:v>
      </x:c>
      <x:c r="G11" s="17" t="str">
        <x:v>深圳市电应普科技</x:v>
      </x:c>
      <x:c r="H11" s="17" t="str">
        <x:v>原备注：14</x:v>
      </x:c>
    </x:row>
    <x:row r="12" ht="30" customHeight="1">
      <x:c r="A12" s="18" t="n">
        <x:v>9</x:v>
      </x:c>
      <x:c r="B12" s="17" t="str">
        <x:v>TS60水下推进器</x:v>
      </x:c>
      <x:c r="C12" s="17" t="str">
        <x:v>蓝黑500/12V</x:v>
      </x:c>
      <x:c r="D12" s="18" t="n">
        <x:v>1</x:v>
      </x:c>
      <x:c r="E12" s="20" t="n">
        <x:v>189</x:v>
      </x:c>
      <x:c r="F12" s="20" t="n">
        <x:f>IF(D12="",E12,D12*E12)</x:f>
        <x:v>189</x:v>
      </x:c>
      <x:c r="G12" s="17" t="str">
        <x:v>淘宝店铺</x:v>
      </x:c>
      <x:c r="H12" s="17" t="str">
        <x:v>先买一个做调试，后续需购足4个</x:v>
      </x:c>
    </x:row>
    <x:row r="13" ht="30" customHeight="1">
      <x:c r="A13" s="18" t="n">
        <x:v>10</x:v>
      </x:c>
      <x:c r="B13" s="17" t="str">
        <x:v>深度计</x:v>
      </x:c>
      <x:c r="C13" s="17" t="str">
        <x:v>MS5837-30Ba TB30</x:v>
      </x:c>
      <x:c r="D13" s="18" t="n">
        <x:v>1</x:v>
      </x:c>
      <x:c r="E13" s="20" t="n">
        <x:v>199</x:v>
      </x:c>
      <x:c r="F13" s="20" t="n">
        <x:f>IF(D13="",E13,D13*E13)</x:f>
        <x:v>199</x:v>
      </x:c>
      <x:c r="G13" s="17" t="str">
        <x:v>淘宝店铺</x:v>
      </x:c>
      <x:c r="H13" s="17" t="str"/>
    </x:row>
    <x:row r="14" ht="30" customHeight="1">
      <x:c r="A14" s="18" t="n">
        <x:v>11</x:v>
      </x:c>
      <x:c r="B14" s="17" t="str">
        <x:v>双向无刷电机电调</x:v>
      </x:c>
      <x:c r="C14" s="17" t="str">
        <x:v>35A水下动力</x:v>
      </x:c>
      <x:c r="D14" s="18" t="n">
        <x:v>1</x:v>
      </x:c>
      <x:c r="E14" s="20" t="n">
        <x:v>95</x:v>
      </x:c>
      <x:c r="F14" s="20" t="n">
        <x:f>IF(D14="",E14,D14*E14)</x:f>
        <x:v>95</x:v>
      </x:c>
      <x:c r="G14" s="17" t="str">
        <x:v>淘宝店铺</x:v>
      </x:c>
      <x:c r="H14" s="17" t="str">
        <x:v>先买一个做调试，后续需购足4个</x:v>
      </x:c>
    </x:row>
    <x:row r="15" ht="30" customHeight="1">
      <x:c r="A15" s="18" t="n">
        <x:v>12</x:v>
      </x:c>
      <x:c r="B15" s="17" t="str">
        <x:v>树莓派4B开发板</x:v>
      </x:c>
      <x:c r="C15" s="17" t="str">
        <x:v>4B/4G基础套餐</x:v>
      </x:c>
      <x:c r="D15" s="18" t="n">
        <x:v>1</x:v>
      </x:c>
      <x:c r="E15" s="20" t="n">
        <x:v>1511.21</x:v>
      </x:c>
      <x:c r="F15" s="20" t="n">
        <x:f>IF(D15="",E15,D15*E15)</x:f>
        <x:v>1511.21</x:v>
      </x:c>
      <x:c r="G15" s="17" t="str">
        <x:v>淘宝店铺</x:v>
      </x:c>
      <x:c r="H15" s="17" t="str"/>
    </x:row>
    <x:row r="16" ht="30" customHeight="1">
      <x:c r="A16" s="18" t="n">
        <x:v>13</x:v>
      </x:c>
      <x:c r="B16" s="17" t="str">
        <x:v>Pixhawk 2.4.8飞控</x:v>
      </x:c>
      <x:c r="C16" s="17" t="str">
        <x:v>无GPS/刷好Ardusub</x:v>
      </x:c>
      <x:c r="D16" s="18" t="n">
        <x:v>1</x:v>
      </x:c>
      <x:c r="E16" s="20" t="n">
        <x:v>599</x:v>
      </x:c>
      <x:c r="F16" s="20" t="n">
        <x:f>IF(D16="",E16,D16*E16)</x:f>
        <x:v>599</x:v>
      </x:c>
      <x:c r="G16" s="17" t="str">
        <x:v>初将科技</x:v>
      </x:c>
      <x:c r="H16" s="17" t="str"/>
    </x:row>
    <x:row r="17" ht="30" customHeight="1">
      <x:c r="A17" s="18" t="n">
        <x:v>14</x:v>
      </x:c>
      <x:c r="B17" s="17" t="str">
        <x:v>总运费</x:v>
      </x:c>
      <x:c r="C17" s="17" t="str"/>
      <x:c r="D17" s="18"/>
      <x:c r="E17" s="20" t="n">
        <x:v>21</x:v>
      </x:c>
      <x:c r="F17" s="20" t="n">
        <x:f>IF(D17="",E17,D17*E17)</x:f>
        <x:v>21</x:v>
      </x:c>
      <x:c r="G17" s="17" t="str"/>
      <x:c r="H17" s="17" t="str"/>
    </x:row>
    <x:row r="18" ht="28" customHeight="1">
      <x:c r="A18" s="25" t="str">
        <x:v>本日合计</x:v>
      </x:c>
      <x:c r="B18" s="25"/>
      <x:c r="C18" s="25"/>
      <x:c r="D18" s="27" t="n">
        <x:f>SUM(D4:D17)</x:f>
        <x:v>16</x:v>
      </x:c>
      <x:c r="E18" s="24"/>
      <x:c r="F18" s="29" t="n">
        <x:f>SUM(F4:F17)</x:f>
        <x:v>3095.11</x:v>
      </x:c>
      <x:c r="G18" s="24"/>
      <x:c r="H18" s="24"/>
    </x:row>
  </x:sheetData>
  <x:mergeCells>
    <x:mergeCell ref="A1:H1"/>
    <x:mergeCell ref="A2:H2"/>
    <x:mergeCell ref="A18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10" hidden="0" customWidth="1"/>
    <x:col min="5" max="5" width="13" hidden="0" customWidth="1"/>
    <x:col min="6" max="6" width="14" hidden="0" customWidth="1"/>
    <x:col min="7" max="7" width="25" hidden="0" customWidth="1"/>
    <x:col min="8" max="8" width="48" hidden="0" customWidth="1"/>
  </x:cols>
  <x:sheetData>
    <x:row r="1" ht="32" customHeight="1">
      <x:c r="A1" s="4" t="str">
        <x:v>2026-07-21 采购清单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采购日期：2026-07-21</x:v>
      </x:c>
      <x:c r="B2" s="7"/>
      <x:c r="C2" s="7"/>
      <x:c r="D2" s="7"/>
      <x:c r="E2" s="7"/>
      <x:c r="F2" s="7"/>
      <x:c r="G2" s="7"/>
      <x:c r="H2" s="7"/>
    </x:row>
    <x:row r="3" ht="26" customHeight="1">
      <x:c r="A3" s="13" t="str">
        <x:v>序号</x:v>
      </x:c>
      <x:c r="B3" s="13" t="str">
        <x:v>商品名称</x:v>
      </x:c>
      <x:c r="C3" s="13" t="str">
        <x:v>规格/型号</x:v>
      </x:c>
      <x:c r="D3" s="13" t="str">
        <x:v>数量</x:v>
      </x:c>
      <x:c r="E3" s="13" t="str">
        <x:v>单价（元）</x:v>
      </x:c>
      <x:c r="F3" s="13" t="str">
        <x:v>金额（元）</x:v>
      </x:c>
      <x:c r="G3" s="13" t="str">
        <x:v>店铺</x:v>
      </x:c>
      <x:c r="H3" s="13" t="str">
        <x:v>备注</x:v>
      </x:c>
    </x:row>
    <x:row r="4" ht="30" customHeight="1">
      <x:c r="A4" s="18" t="n">
        <x:v>1</x:v>
      </x:c>
      <x:c r="B4" s="17" t="str">
        <x:v>德力西小螺丝刀套装</x:v>
      </x:c>
      <x:c r="C4" s="17" t="str">
        <x:v>45合一/S2+CR-V材质</x:v>
      </x:c>
      <x:c r="D4" s="18" t="n">
        <x:v>1</x:v>
      </x:c>
      <x:c r="E4" s="20" t="n">
        <x:v>27.7</x:v>
      </x:c>
      <x:c r="F4" s="20" t="n">
        <x:f>IF(D4="",E4,D4*E4)</x:f>
        <x:v>27.7</x:v>
      </x:c>
      <x:c r="G4" s="17" t="str">
        <x:v>德力西手动工具旗舰店</x:v>
      </x:c>
      <x:c r="H4" s="17" t="str">
        <x:v>优惠后实付价27.70元；订单页显示实付款0元；订单号3313250403681008294</x:v>
      </x:c>
    </x:row>
    <x:row r="5" ht="28" customHeight="1">
      <x:c r="A5" s="25" t="str">
        <x:v>本日合计</x:v>
      </x:c>
      <x:c r="B5" s="25"/>
      <x:c r="C5" s="25"/>
      <x:c r="D5" s="27" t="n">
        <x:f>SUM(D4:D4)</x:f>
        <x:v>1</x:v>
      </x:c>
      <x:c r="E5" s="24"/>
      <x:c r="F5" s="29" t="n">
        <x:f>SUM(F4:F4)</x:f>
        <x:v>27.7</x:v>
      </x:c>
      <x:c r="G5" s="24"/>
      <x:c r="H5" s="24"/>
    </x:row>
  </x:sheetData>
  <x:mergeCells>
    <x:mergeCell ref="A1:H1"/>
    <x:mergeCell ref="A2:H2"/>
    <x:mergeCell ref="A5:C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10" hidden="0" customWidth="1"/>
    <x:col min="5" max="5" width="13" hidden="0" customWidth="1"/>
    <x:col min="6" max="6" width="14" hidden="0" customWidth="1"/>
    <x:col min="7" max="7" width="25" hidden="0" customWidth="1"/>
    <x:col min="8" max="8" width="48" hidden="0" customWidth="1"/>
  </x:cols>
  <x:sheetData>
    <x:row r="1" ht="32" customHeight="1">
      <x:c r="A1" s="4" t="str">
        <x:v>2026-07-22 采购清单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采购日期：2026-07-22</x:v>
      </x:c>
      <x:c r="B2" s="7"/>
      <x:c r="C2" s="7"/>
      <x:c r="D2" s="7"/>
      <x:c r="E2" s="7"/>
      <x:c r="F2" s="7"/>
      <x:c r="G2" s="7"/>
      <x:c r="H2" s="7"/>
    </x:row>
    <x:row r="3" ht="26" customHeight="1">
      <x:c r="A3" s="13" t="str">
        <x:v>序号</x:v>
      </x:c>
      <x:c r="B3" s="13" t="str">
        <x:v>商品名称</x:v>
      </x:c>
      <x:c r="C3" s="13" t="str">
        <x:v>规格/型号</x:v>
      </x:c>
      <x:c r="D3" s="13" t="str">
        <x:v>数量</x:v>
      </x:c>
      <x:c r="E3" s="13" t="str">
        <x:v>单价（元）</x:v>
      </x:c>
      <x:c r="F3" s="13" t="str">
        <x:v>金额（元）</x:v>
      </x:c>
      <x:c r="G3" s="13" t="str">
        <x:v>店铺</x:v>
      </x:c>
      <x:c r="H3" s="13" t="str">
        <x:v>备注</x:v>
      </x:c>
    </x:row>
    <x:row r="4" ht="30" customHeight="1">
      <x:c r="A4" s="18" t="n">
        <x:v>1</x:v>
      </x:c>
      <x:c r="B4" s="17" t="str">
        <x:v>单头六角铜柱</x:v>
      </x:c>
      <x:c r="C4" s="17" t="str">
        <x:v>M3×12+3/50支</x:v>
      </x:c>
      <x:c r="D4" s="46" t="n">
        <x:v>1</x:v>
      </x:c>
      <x:c r="E4" s="20" t="n">
        <x:v>8.41</x:v>
      </x:c>
      <x:c r="F4" s="20" t="n">
        <x:f>IF(D4="",E4,D4*E4)</x:f>
        <x:v>8.41</x:v>
      </x:c>
      <x:c r="G4" s="17" t="str">
        <x:v>固万基官方旗舰店</x:v>
      </x:c>
      <x:c r="H4" s="17" t="str">
        <x:v>确认订单优惠后价格</x:v>
      </x:c>
    </x:row>
    <x:row r="5" ht="30" customHeight="1">
      <x:c r="A5" s="18" t="n">
        <x:v>2</x:v>
      </x:c>
      <x:c r="B5" s="17" t="str">
        <x:v>单头六角铜柱</x:v>
      </x:c>
      <x:c r="C5" s="17" t="str">
        <x:v>M3×6+3/100支</x:v>
      </x:c>
      <x:c r="D5" s="46" t="n">
        <x:v>1</x:v>
      </x:c>
      <x:c r="E5" s="20" t="n">
        <x:v>10.93</x:v>
      </x:c>
      <x:c r="F5" s="20" t="n">
        <x:f>IF(D5="",E5,D5*E5)</x:f>
        <x:v>10.93</x:v>
      </x:c>
      <x:c r="G5" s="17" t="str">
        <x:v>固万基官方旗舰店</x:v>
      </x:c>
      <x:c r="H5" s="17" t="str">
        <x:v>确认订单优惠后价格</x:v>
      </x:c>
    </x:row>
    <x:row r="6" ht="30" customHeight="1">
      <x:c r="A6" s="18" t="n">
        <x:v>3</x:v>
      </x:c>
      <x:c r="B6" s="17" t="str">
        <x:v>单头六角铜柱</x:v>
      </x:c>
      <x:c r="C6" s="17" t="str">
        <x:v>M3×15+3/50支</x:v>
      </x:c>
      <x:c r="D6" s="46" t="n">
        <x:v>1</x:v>
      </x:c>
      <x:c r="E6" s="20" t="n">
        <x:v>10.93</x:v>
      </x:c>
      <x:c r="F6" s="20" t="n">
        <x:f>IF(D6="",E6,D6*E6)</x:f>
        <x:v>10.93</x:v>
      </x:c>
      <x:c r="G6" s="17" t="str">
        <x:v>固万基官方旗舰店</x:v>
      </x:c>
      <x:c r="H6" s="17" t="str">
        <x:v>确认订单优惠后价格</x:v>
      </x:c>
    </x:row>
    <x:row r="7" ht="30" customHeight="1">
      <x:c r="A7" s="18" t="n">
        <x:v>4</x:v>
      </x:c>
      <x:c r="B7" s="17" t="str">
        <x:v>单头六角铜柱</x:v>
      </x:c>
      <x:c r="C7" s="17" t="str">
        <x:v>M3×20+3/50支</x:v>
      </x:c>
      <x:c r="D7" s="46" t="n">
        <x:v>1</x:v>
      </x:c>
      <x:c r="E7" s="20" t="n">
        <x:v>12.46</x:v>
      </x:c>
      <x:c r="F7" s="20" t="n">
        <x:f>IF(D7="",E7,D7*E7)</x:f>
        <x:v>12.46</x:v>
      </x:c>
      <x:c r="G7" s="17" t="str">
        <x:v>固万基官方旗舰店</x:v>
      </x:c>
      <x:c r="H7" s="17" t="str">
        <x:v>确认订单优惠后价格</x:v>
      </x:c>
    </x:row>
    <x:row r="8" ht="30" customHeight="1">
      <x:c r="A8" s="18" t="n">
        <x:v>5</x:v>
      </x:c>
      <x:c r="B8" s="17" t="str">
        <x:v>304不锈钢平垫圈</x:v>
      </x:c>
      <x:c r="C8" s="17" t="str">
        <x:v>M5×8×0.5/200只</x:v>
      </x:c>
      <x:c r="D8" s="46" t="n">
        <x:v>1</x:v>
      </x:c>
      <x:c r="E8" s="20" t="n">
        <x:v>4.04</x:v>
      </x:c>
      <x:c r="F8" s="20" t="n">
        <x:f>IF(D8="",E8,D8*E8)</x:f>
        <x:v>4.04</x:v>
      </x:c>
      <x:c r="G8" s="17" t="str">
        <x:v>固万基官方旗舰店</x:v>
      </x:c>
      <x:c r="H8" s="17" t="str">
        <x:v>确认订单优惠后价格</x:v>
      </x:c>
    </x:row>
    <x:row r="9" ht="30" customHeight="1">
      <x:c r="A9" s="18" t="n">
        <x:v>6</x:v>
      </x:c>
      <x:c r="B9" s="17" t="str">
        <x:v>304不锈钢平垫圈</x:v>
      </x:c>
      <x:c r="C9" s="17" t="str">
        <x:v>M4×7×0.5/200只</x:v>
      </x:c>
      <x:c r="D9" s="46" t="n">
        <x:v>1</x:v>
      </x:c>
      <x:c r="E9" s="20" t="n">
        <x:v>3.19</x:v>
      </x:c>
      <x:c r="F9" s="20" t="n">
        <x:f>IF(D9="",E9,D9*E9)</x:f>
        <x:v>3.19</x:v>
      </x:c>
      <x:c r="G9" s="17" t="str">
        <x:v>固万基官方旗舰店</x:v>
      </x:c>
      <x:c r="H9" s="17" t="str">
        <x:v>确认订单优惠后价格</x:v>
      </x:c>
    </x:row>
    <x:row r="10" ht="30" customHeight="1">
      <x:c r="A10" s="18" t="n">
        <x:v>7</x:v>
      </x:c>
      <x:c r="B10" s="17" t="str">
        <x:v>304不锈钢平垫圈</x:v>
      </x:c>
      <x:c r="C10" s="17" t="str">
        <x:v>M3×6×0.5/200只</x:v>
      </x:c>
      <x:c r="D10" s="46" t="n">
        <x:v>1</x:v>
      </x:c>
      <x:c r="E10" s="20" t="n">
        <x:v>3.19</x:v>
      </x:c>
      <x:c r="F10" s="20" t="n">
        <x:f>IF(D10="",E10,D10*E10)</x:f>
        <x:v>3.19</x:v>
      </x:c>
      <x:c r="G10" s="17" t="str">
        <x:v>固万基官方旗舰店</x:v>
      </x:c>
      <x:c r="H10" s="17" t="str">
        <x:v>确认订单优惠后价格</x:v>
      </x:c>
    </x:row>
    <x:row r="11" ht="30" customHeight="1">
      <x:c r="A11" s="18" t="n">
        <x:v>8</x:v>
      </x:c>
      <x:c r="B11" s="17" t="str">
        <x:v>单头六角铜柱</x:v>
      </x:c>
      <x:c r="C11" s="17" t="str">
        <x:v>M3×100+6/5支</x:v>
      </x:c>
      <x:c r="D11" s="46" t="n">
        <x:v>1</x:v>
      </x:c>
      <x:c r="E11" s="20" t="n">
        <x:v>9.46</x:v>
      </x:c>
      <x:c r="F11" s="20" t="n">
        <x:f>IF(D11="",E11,D11*E11)</x:f>
        <x:v>9.46</x:v>
      </x:c>
      <x:c r="G11" s="17" t="str">
        <x:v>固万基官方旗舰店</x:v>
      </x:c>
      <x:c r="H11" s="17" t="str">
        <x:v>确认订单优惠后价格</x:v>
      </x:c>
    </x:row>
    <x:row r="12" ht="30" customHeight="1">
      <x:c r="A12" s="18" t="n">
        <x:v>9</x:v>
      </x:c>
      <x:c r="B12" s="17" t="str">
        <x:v>单头六角铜柱</x:v>
      </x:c>
      <x:c r="C12" s="17" t="str">
        <x:v>M3×24+3/20支</x:v>
      </x:c>
      <x:c r="D12" s="46" t="n">
        <x:v>1</x:v>
      </x:c>
      <x:c r="E12" s="20" t="n">
        <x:v>7.06</x:v>
      </x:c>
      <x:c r="F12" s="20" t="n">
        <x:f>IF(D12="",E12,D12*E12)</x:f>
        <x:v>7.06</x:v>
      </x:c>
      <x:c r="G12" s="17" t="str">
        <x:v>固万基官方旗舰店</x:v>
      </x:c>
      <x:c r="H12" s="17" t="str">
        <x:v>确认订单优惠后价格</x:v>
      </x:c>
    </x:row>
    <x:row r="13" ht="30" customHeight="1">
      <x:c r="A13" s="18" t="n">
        <x:v>10</x:v>
      </x:c>
      <x:c r="B13" s="17" t="str">
        <x:v>数字万用表</x:v>
      </x:c>
      <x:c r="C13" s="17" t="str">
        <x:v>多功能智能防烧/标配+备用电池</x:v>
      </x:c>
      <x:c r="D13" s="46" t="n">
        <x:v>1</x:v>
      </x:c>
      <x:c r="E13" s="20" t="n">
        <x:v>18.6</x:v>
      </x:c>
      <x:c r="F13" s="20" t="n">
        <x:f>IF(D13="",E13,D13*E13)</x:f>
        <x:v>18.6</x:v>
      </x:c>
      <x:c r="G13" s="17" t="str">
        <x:v>嘉华仪器仪表批发中心</x:v>
      </x:c>
      <x:c r="H13" s="17" t="str">
        <x:v>确认订单优惠后价格</x:v>
      </x:c>
    </x:row>
    <x:row r="14" ht="30" customHeight="1">
      <x:c r="A14" s="18" t="n">
        <x:v>11</x:v>
      </x:c>
      <x:c r="B14" s="17" t="str">
        <x:v>304不锈钢六角螺母</x:v>
      </x:c>
      <x:c r="C14" s="17" t="str">
        <x:v>M5/50个</x:v>
      </x:c>
      <x:c r="D14" s="46" t="n">
        <x:v>1</x:v>
      </x:c>
      <x:c r="E14" s="20" t="n">
        <x:v>2.26</x:v>
      </x:c>
      <x:c r="F14" s="20" t="n">
        <x:f>IF(D14="",E14,D14*E14)</x:f>
        <x:v>2.26</x:v>
      </x:c>
      <x:c r="G14" s="17" t="str">
        <x:v>楚卫旗舰店</x:v>
      </x:c>
      <x:c r="H14" s="17" t="str">
        <x:v>确认订单优惠后价格</x:v>
      </x:c>
    </x:row>
    <x:row r="15" ht="30" customHeight="1">
      <x:c r="A15" s="18" t="n">
        <x:v>12</x:v>
      </x:c>
      <x:c r="B15" s="17" t="str">
        <x:v>304不锈钢六角螺母</x:v>
      </x:c>
      <x:c r="C15" s="17" t="str">
        <x:v>M4/100个</x:v>
      </x:c>
      <x:c r="D15" s="46" t="n">
        <x:v>1</x:v>
      </x:c>
      <x:c r="E15" s="20" t="n">
        <x:v>3.18</x:v>
      </x:c>
      <x:c r="F15" s="20" t="n">
        <x:f>IF(D15="",E15,D15*E15)</x:f>
        <x:v>3.18</x:v>
      </x:c>
      <x:c r="G15" s="17" t="str">
        <x:v>楚卫旗舰店</x:v>
      </x:c>
      <x:c r="H15" s="17" t="str">
        <x:v>确认订单优惠后价格</x:v>
      </x:c>
    </x:row>
    <x:row r="16" ht="30" customHeight="1">
      <x:c r="A16" s="18" t="n">
        <x:v>13</x:v>
      </x:c>
      <x:c r="B16" s="17" t="str">
        <x:v>304不锈钢六角螺母</x:v>
      </x:c>
      <x:c r="C16" s="17" t="str">
        <x:v>M3/100个</x:v>
      </x:c>
      <x:c r="D16" s="46" t="n">
        <x:v>1</x:v>
      </x:c>
      <x:c r="E16" s="20" t="n">
        <x:v>2.09</x:v>
      </x:c>
      <x:c r="F16" s="20" t="n">
        <x:f>IF(D16="",E16,D16*E16)</x:f>
        <x:v>2.09</x:v>
      </x:c>
      <x:c r="G16" s="17" t="str">
        <x:v>楚卫旗舰店</x:v>
      </x:c>
      <x:c r="H16" s="17" t="str">
        <x:v>确认订单优惠后价格</x:v>
      </x:c>
    </x:row>
    <x:row r="17" ht="30" customHeight="1">
      <x:c r="A17" s="18" t="n">
        <x:v>14</x:v>
      </x:c>
      <x:c r="B17" s="17" t="str">
        <x:v>304内六角螺钉</x:v>
      </x:c>
      <x:c r="C17" s="17" t="str">
        <x:v>M3×12/100个</x:v>
      </x:c>
      <x:c r="D17" s="46" t="n">
        <x:v>1</x:v>
      </x:c>
      <x:c r="E17" s="20" t="n">
        <x:v>2.6</x:v>
      </x:c>
      <x:c r="F17" s="20" t="n">
        <x:f>IF(D17="",E17,D17*E17)</x:f>
        <x:v>2.6</x:v>
      </x:c>
      <x:c r="G17" s="17" t="str">
        <x:v>楚卫旗舰店</x:v>
      </x:c>
      <x:c r="H17" s="17" t="str">
        <x:v>确认订单优惠后价格</x:v>
      </x:c>
    </x:row>
    <x:row r="18" ht="30" customHeight="1">
      <x:c r="A18" s="18" t="n">
        <x:v>15</x:v>
      </x:c>
      <x:c r="B18" s="17" t="str">
        <x:v>304十字圆头螺钉</x:v>
      </x:c>
      <x:c r="C18" s="17" t="str">
        <x:v>M5×12/50个</x:v>
      </x:c>
      <x:c r="D18" s="46" t="n">
        <x:v>1</x:v>
      </x:c>
      <x:c r="E18" s="20" t="n">
        <x:v>4.78</x:v>
      </x:c>
      <x:c r="F18" s="20" t="n">
        <x:f>IF(D18="",E18,D18*E18)</x:f>
        <x:v>4.78</x:v>
      </x:c>
      <x:c r="G18" s="17" t="str">
        <x:v>佰瑞特官方旗舰店</x:v>
      </x:c>
      <x:c r="H18" s="17" t="str">
        <x:v>确认订单优惠后价格</x:v>
      </x:c>
    </x:row>
    <x:row r="19" ht="30" customHeight="1">
      <x:c r="A19" s="18" t="n">
        <x:v>16</x:v>
      </x:c>
      <x:c r="B19" s="17" t="str">
        <x:v>304十字圆头螺钉</x:v>
      </x:c>
      <x:c r="C19" s="17" t="str">
        <x:v>M4×12/50个</x:v>
      </x:c>
      <x:c r="D19" s="46" t="n">
        <x:v>1</x:v>
      </x:c>
      <x:c r="E19" s="20" t="n">
        <x:v>2.75</x:v>
      </x:c>
      <x:c r="F19" s="20" t="n">
        <x:f>IF(D19="",E19,D19*E19)</x:f>
        <x:v>2.75</x:v>
      </x:c>
      <x:c r="G19" s="17" t="str">
        <x:v>佰瑞特官方旗舰店</x:v>
      </x:c>
      <x:c r="H19" s="17" t="str">
        <x:v>确认订单优惠后价格</x:v>
      </x:c>
    </x:row>
    <x:row r="20" ht="30" customHeight="1">
      <x:c r="A20" s="18" t="n">
        <x:v>17</x:v>
      </x:c>
      <x:c r="B20" s="17" t="str">
        <x:v>304十字圆头螺钉</x:v>
      </x:c>
      <x:c r="C20" s="17" t="str">
        <x:v>M4×10/100个</x:v>
      </x:c>
      <x:c r="D20" s="46" t="n">
        <x:v>1</x:v>
      </x:c>
      <x:c r="E20" s="20" t="n">
        <x:v>4.95</x:v>
      </x:c>
      <x:c r="F20" s="20" t="n">
        <x:f>IF(D20="",E20,D20*E20)</x:f>
        <x:v>4.95</x:v>
      </x:c>
      <x:c r="G20" s="17" t="str">
        <x:v>佰瑞特官方旗舰店</x:v>
      </x:c>
      <x:c r="H20" s="17" t="str">
        <x:v>确认订单优惠后价格</x:v>
      </x:c>
    </x:row>
    <x:row r="21" ht="30" customHeight="1">
      <x:c r="A21" s="18" t="n">
        <x:v>18</x:v>
      </x:c>
      <x:c r="B21" s="17" t="str">
        <x:v>304十字圆头螺钉</x:v>
      </x:c>
      <x:c r="C21" s="17" t="str">
        <x:v>M3×10/100个</x:v>
      </x:c>
      <x:c r="D21" s="46" t="n">
        <x:v>1</x:v>
      </x:c>
      <x:c r="E21" s="20" t="n">
        <x:v>2.96</x:v>
      </x:c>
      <x:c r="F21" s="20" t="n">
        <x:f>IF(D21="",E21,D21*E21)</x:f>
        <x:v>2.96</x:v>
      </x:c>
      <x:c r="G21" s="17" t="str">
        <x:v>佰瑞特官方旗舰店</x:v>
      </x:c>
      <x:c r="H21" s="17" t="str">
        <x:v>确认订单优惠后价格</x:v>
      </x:c>
    </x:row>
    <x:row r="22" ht="30" customHeight="1">
      <x:c r="A22" s="18" t="n">
        <x:v>19</x:v>
      </x:c>
      <x:c r="B22" s="17" t="str">
        <x:v>304十字圆头螺钉</x:v>
      </x:c>
      <x:c r="C22" s="17" t="str">
        <x:v>M3×6/100个</x:v>
      </x:c>
      <x:c r="D22" s="46" t="n">
        <x:v>1</x:v>
      </x:c>
      <x:c r="E22" s="20" t="n">
        <x:v>2.34</x:v>
      </x:c>
      <x:c r="F22" s="20" t="n">
        <x:f>IF(D22="",E22,D22*E22)</x:f>
        <x:v>2.34</x:v>
      </x:c>
      <x:c r="G22" s="17" t="str">
        <x:v>佰瑞特官方旗舰店</x:v>
      </x:c>
      <x:c r="H22" s="17" t="str">
        <x:v>确认订单优惠后价格</x:v>
      </x:c>
    </x:row>
    <x:row r="23" ht="30" customHeight="1">
      <x:c r="A23" s="18" t="n">
        <x:v>20</x:v>
      </x:c>
      <x:c r="B23" s="17" t="str">
        <x:v>接线端子压线钳</x:v>
      </x:c>
      <x:c r="C23" s="17" t="str">
        <x:v>HSC8 6-4A/0.25-10mm²/四边形</x:v>
      </x:c>
      <x:c r="D23" s="46" t="n">
        <x:v>1</x:v>
      </x:c>
      <x:c r="E23" s="20" t="n">
        <x:v>16.9</x:v>
      </x:c>
      <x:c r="F23" s="20" t="n">
        <x:f>IF(D23="",E23,D23*E23)</x:f>
        <x:v>16.9</x:v>
      </x:c>
      <x:c r="G23" s="17" t="str">
        <x:v>德力西聚优品专卖店</x:v>
      </x:c>
      <x:c r="H23" s="17" t="str">
        <x:v>确认订单优惠后价格</x:v>
      </x:c>
    </x:row>
    <x:row r="24" ht="30" customHeight="1">
      <x:c r="A24" s="18" t="n">
        <x:v>21</x:v>
      </x:c>
      <x:c r="B24" s="17" t="str">
        <x:v>管型端子套装</x:v>
      </x:c>
      <x:c r="C24" s="17" t="str">
        <x:v>VE1508针形铜鼻子/8种规格/1200只</x:v>
      </x:c>
      <x:c r="D24" s="46" t="n">
        <x:v>1</x:v>
      </x:c>
      <x:c r="E24" s="20" t="n">
        <x:v>17.82</x:v>
      </x:c>
      <x:c r="F24" s="20" t="n">
        <x:f>IF(D24="",E24,D24*E24)</x:f>
        <x:v>17.82</x:v>
      </x:c>
      <x:c r="G24" s="17" t="str">
        <x:v>UTL尤提乐岚行专卖店</x:v>
      </x:c>
      <x:c r="H24" s="17" t="str">
        <x:v>确认订单优惠后价格</x:v>
      </x:c>
    </x:row>
    <x:row r="25" ht="30" customHeight="1">
      <x:c r="A25" s="18" t="n">
        <x:v>22</x:v>
      </x:c>
      <x:c r="B25" s="17" t="str">
        <x:v>迷你接线端子连接器</x:v>
      </x:c>
      <x:c r="C25" s="17" t="str">
        <x:v>H3802-15A-03/3位/白色</x:v>
      </x:c>
      <x:c r="D25" s="46" t="n">
        <x:v>5</x:v>
      </x:c>
      <x:c r="E25" s="20" t="n">
        <x:v>4.98</x:v>
      </x:c>
      <x:c r="F25" s="20" t="n">
        <x:f>IF(D25="",E25,D25*E25)</x:f>
        <x:v>24.900000000000002</x:v>
      </x:c>
      <x:c r="G25" s="17" t="str">
        <x:v>elinkerelectric旗舰店</x:v>
      </x:c>
      <x:c r="H25" s="17" t="str">
        <x:v>确认订单优惠后价格</x:v>
      </x:c>
    </x:row>
    <x:row r="26" ht="28" customHeight="1">
      <x:c r="A26" s="25" t="str">
        <x:v>本日合计</x:v>
      </x:c>
      <x:c r="B26" s="25"/>
      <x:c r="C26" s="25"/>
      <x:c r="D26" s="27" t="n">
        <x:f>SUM(D4:D25)</x:f>
        <x:v>26</x:v>
      </x:c>
      <x:c r="E26" s="24"/>
      <x:c r="F26" s="29" t="n">
        <x:f>SUM(F4:F25)</x:f>
        <x:v>175.8</x:v>
      </x:c>
      <x:c r="G26" s="24"/>
      <x:c r="H26" s="24"/>
    </x:row>
  </x:sheetData>
  <x:mergeCells>
    <x:mergeCell ref="A1:H1"/>
    <x:mergeCell ref="A2:H2"/>
    <x:mergeCell ref="A26:C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19" hidden="0" customWidth="1"/>
    <x:col min="5" max="5" width="30" hidden="0" customWidth="1"/>
  </x:cols>
  <x:sheetData>
    <x:row r="1" ht="36" customHeight="1">
      <x:c r="A1" s="4" t="str">
        <x:v>采购总计</x:v>
      </x:c>
      <x:c r="B1" s="4"/>
      <x:c r="C1" s="4"/>
      <x:c r="D1" s="4"/>
      <x:c r="E1" s="4"/>
    </x:row>
    <x:row r="2" ht="23" customHeight="1">
      <x:c r="A2" s="30" t="str">
        <x:v>按采购日期汇总；各项数据自动引用对应日期分表</x:v>
      </x:c>
      <x:c r="B2" s="30"/>
      <x:c r="C2" s="30"/>
      <x:c r="D2" s="30"/>
      <x:c r="E2" s="30"/>
    </x:row>
    <x:row r="4" ht="27" customHeight="1">
      <x:c r="A4" s="31" t="str">
        <x:v>采购日期</x:v>
      </x:c>
      <x:c r="B4" s="31" t="str">
        <x:v>品类数</x:v>
      </x:c>
      <x:c r="C4" s="31" t="str">
        <x:v>商品数量</x:v>
      </x:c>
      <x:c r="D4" s="31" t="str">
        <x:v>采购金额（元）</x:v>
      </x:c>
      <x:c r="E4" s="31" t="str">
        <x:v>备注</x:v>
      </x:c>
    </x:row>
    <x:row r="5" ht="28" customHeight="1">
      <x:c r="A5" s="35" t="n">
        <x:v>46216</x:v>
      </x:c>
      <x:c r="B5" s="36" t="n">
        <x:v>13</x:v>
      </x:c>
      <x:c r="C5" s="36" t="n">
        <x:f>'2026-07-13'!D18</x:f>
        <x:v>16</x:v>
      </x:c>
      <x:c r="D5" s="38" t="n">
        <x:f>'2026-07-13'!F18</x:f>
        <x:v>3095.11</x:v>
      </x:c>
      <x:c r="E5" s="33" t="str">
        <x:v>详见 2026-07-13 分表</x:v>
      </x:c>
    </x:row>
    <x:row r="6" ht="28" customHeight="1">
      <x:c r="A6" s="35" t="n">
        <x:v>46224</x:v>
      </x:c>
      <x:c r="B6" s="36" t="n">
        <x:v>1</x:v>
      </x:c>
      <x:c r="C6" s="36" t="n">
        <x:f>'2026-07-21'!D5</x:f>
        <x:v>1</x:v>
      </x:c>
      <x:c r="D6" s="38" t="n">
        <x:f>'2026-07-21'!F5</x:f>
        <x:v>27.7</x:v>
      </x:c>
      <x:c r="E6" s="33" t="str">
        <x:v>详见 2026-07-21 分表</x:v>
      </x:c>
    </x:row>
    <x:row r="7" ht="28" customHeight="1">
      <x:c r="A7" s="35" t="n">
        <x:v>46225</x:v>
      </x:c>
      <x:c r="B7" s="36" t="n">
        <x:v>22</x:v>
      </x:c>
      <x:c r="C7" s="36" t="n">
        <x:f>'2026-07-22'!D26</x:f>
        <x:v>26</x:v>
      </x:c>
      <x:c r="D7" s="38" t="n">
        <x:f>'2026-07-22'!F26</x:f>
        <x:v>175.8</x:v>
      </x:c>
      <x:c r="E7" s="33" t="str">
        <x:v>详见 2026-07-22 分表</x:v>
      </x:c>
    </x:row>
    <x:row r="8" ht="28" customHeight="1">
      <x:c r="A8" s="78" t="n">
        <x:v>46227</x:v>
      </x:c>
      <x:c r="B8" s="75" t="n">
        <x:v>2</x:v>
      </x:c>
      <x:c r="C8" s="75" t="n">
        <x:f>'2026-07-24'!D6</x:f>
        <x:v>2</x:v>
      </x:c>
      <x:c r="D8" s="76" t="n">
        <x:f>'2026-07-24'!F6</x:f>
        <x:v>50.5</x:v>
      </x:c>
      <x:c r="E8" s="77" t="str">
        <x:v>详见 2026-07-24 分表</x:v>
      </x:c>
    </x:row>
    <x:row r="9" ht="28" customHeight="1">
      <x:c r="A9" s="117" t="n">
        <x:v>46231</x:v>
      </x:c>
      <x:c r="B9" s="114" t="n">
        <x:f>COUNTA('2026-07-28'!B5:B8)</x:f>
        <x:v>4</x:v>
      </x:c>
      <x:c r="C9" s="114" t="n">
        <x:f>'2026-07-28'!D9</x:f>
        <x:v>4</x:v>
      </x:c>
      <x:c r="D9" s="115" t="n">
        <x:f>'2026-07-28'!F9</x:f>
        <x:v>101.67999999999999</x:v>
      </x:c>
      <x:c r="E9" s="116" t="str">
        <x:v>详见 2026-07-28 分表</x:v>
      </x:c>
    </x:row>
    <x:row r="10" ht="30" customHeight="1">
      <x:c r="A10" s="220" t="n">
        <x:v>46232</x:v>
      </x:c>
      <x:c r="B10" s="221" t="n">
        <x:f>COUNTA('2026-07-29'!B4:B6)</x:f>
        <x:v>3</x:v>
      </x:c>
      <x:c r="C10" s="221" t="n">
        <x:f>'2026-07-29'!D7</x:f>
        <x:v>3</x:v>
      </x:c>
      <x:c r="D10" s="216" t="n">
        <x:f>'2026-07-29'!F7</x:f>
        <x:v>340</x:v>
      </x:c>
      <x:c r="E10" s="219" t="str">
        <x:v>详见 2026-07-29 分表</x:v>
      </x:c>
    </x:row>
    <x:row r="11" ht="30" customHeight="1">
      <x:c r="A11" s="276" t="n">
        <x:v>46237</x:v>
      </x:c>
      <x:c r="B11" s="273" t="n">
        <x:f>COUNTA('2026-08-03'!B4:B6)</x:f>
        <x:v>3</x:v>
      </x:c>
      <x:c r="C11" s="273" t="n">
        <x:f>'2026-08-03'!D7</x:f>
        <x:v>3</x:v>
      </x:c>
      <x:c r="D11" s="274" t="n">
        <x:f>'2026-08-03'!F7</x:f>
        <x:v>11.959999999999999</x:v>
      </x:c>
      <x:c r="E11" s="275" t="str">
        <x:v>详见 2026-08-03 分表</x:v>
      </x:c>
    </x:row>
    <x:row r="12" ht="30" customHeight="1">
      <x:c r="A12" s="361" t="n">
        <x:v>46241</x:v>
      </x:c>
      <x:c r="B12" s="362" t="n">
        <x:f>COUNTA('2026-08-07'!B4:B9)</x:f>
        <x:v>6</x:v>
      </x:c>
      <x:c r="C12" s="362" t="n">
        <x:f>'2026-08-07'!D11</x:f>
        <x:v>7</x:v>
      </x:c>
      <x:c r="D12" s="363" t="n">
        <x:f>'2026-08-07'!F11</x:f>
        <x:v>369.58</x:v>
      </x:c>
      <x:c r="E12" s="364" t="str">
        <x:v>详见 2026-08-07 分表</x:v>
      </x:c>
    </x:row>
    <x:row r="13" ht="28" customHeight="1">
      <x:c r="A13" s="423" t="n">
        <x:v>46244</x:v>
      </x:c>
      <x:c r="B13" s="424" t="n">
        <x:v>1</x:v>
      </x:c>
      <x:c r="C13" s="424" t="n">
        <x:v>1</x:v>
      </x:c>
      <x:c r="D13" s="425" t="n">
        <x:v>4.98</x:v>
      </x:c>
      <x:c r="E13" s="426" t="str">
        <x:v>详见 2026-08-10 分表</x:v>
      </x:c>
    </x:row>
    <x:row r="14" ht="28" customHeight="1">
      <x:c r="A14" s="474" t="n">
        <x:v>46248</x:v>
      </x:c>
      <x:c r="B14" s="471" t="n">
        <x:f>COUNTA('2026-08-14'!B4:B5)</x:f>
        <x:v>2</x:v>
      </x:c>
      <x:c r="C14" s="471" t="n">
        <x:f>SUM('2026-08-14'!D4:D5)</x:f>
        <x:v>11</x:v>
      </x:c>
      <x:c r="D14" s="472" t="n">
        <x:f>'2026-08-14'!F7</x:f>
        <x:v>25.5</x:v>
      </x:c>
      <x:c r="E14" s="475" t="str">
        <x:v>详见 2026-08-14 分表</x:v>
      </x:c>
    </x:row>
    <x:row r="15" ht="26" customHeight="1">
      <x:c r="A15" s="530" t="n">
        <x:v>46251</x:v>
      </x:c>
      <x:c r="B15" s="531" t="n">
        <x:f>COUNTA('2026-08-17'!B4:B8)</x:f>
        <x:v>5</x:v>
      </x:c>
      <x:c r="C15" s="531" t="n">
        <x:f>'2026-08-17'!D9</x:f>
        <x:v>5</x:v>
      </x:c>
      <x:c r="D15" s="532" t="n">
        <x:f>'2026-08-17'!F9</x:f>
        <x:v>42.15</x:v>
      </x:c>
      <x:c r="E15" s="533" t="str">
        <x:v>详见 2026-08-17 分表</x:v>
      </x:c>
    </x:row>
    <x:row r="16" ht="26" customHeight="1">
      <x:c r="A16" s="631" t="n">
        <x:v>46252</x:v>
      </x:c>
      <x:c r="B16" s="632" t="n">
        <x:f>COUNTA('2026-08-18'!B4:B12)</x:f>
        <x:v>9</x:v>
      </x:c>
      <x:c r="C16" s="632" t="n">
        <x:f>'2026-08-18'!D13</x:f>
        <x:v>24</x:v>
      </x:c>
      <x:c r="D16" s="633" t="n">
        <x:f>'2026-08-18'!F13</x:f>
        <x:v>2490.73</x:v>
      </x:c>
      <x:c r="E16" s="634" t="str">
        <x:v>详见 2026-08-18 分表</x:v>
      </x:c>
    </x:row>
    <x:row r="17" ht="26" customHeight="1">
      <x:c r="A17" s="738" t="n">
        <x:v>46259</x:v>
      </x:c>
      <x:c r="B17" s="739" t="n">
        <x:f>COUNTA('2026-08-25'!B4:B6)</x:f>
        <x:v>3</x:v>
      </x:c>
      <x:c r="C17" s="739" t="n">
        <x:f>'2026-08-25'!D7</x:f>
        <x:v>3</x:v>
      </x:c>
      <x:c r="D17" s="740" t="n">
        <x:f>'2026-08-25'!F7</x:f>
        <x:v>1812.1</x:v>
      </x:c>
      <x:c r="E17" s="741" t="str">
        <x:v>详见 2026-08-25 分表</x:v>
      </x:c>
    </x:row>
    <x:row r="18" ht="26" customHeight="1">
      <x:c r="A18" s="738" t="n">
        <x:v>46260</x:v>
      </x:c>
      <x:c r="B18" s="739" t="n">
        <x:f>COUNTA('2026-08-26'!B4:B10)</x:f>
        <x:v>7</x:v>
      </x:c>
      <x:c r="C18" s="739" t="n">
        <x:f>'2026-08-26'!D11</x:f>
        <x:v>7</x:v>
      </x:c>
      <x:c r="D18" s="740" t="n">
        <x:f>'2026-08-26'!F11</x:f>
        <x:v>41.940000000000005</x:v>
      </x:c>
      <x:c r="E18" s="741" t="str">
        <x:v>详见 2026-08-26 分表</x:v>
      </x:c>
    </x:row>
    <x:row r="19" ht="26" customHeight="1">
      <x:c r="A19" s="815" t="n">
        <x:v>46262</x:v>
      </x:c>
      <x:c r="B19" s="816" t="n">
        <x:f>COUNTA('2026-08-28'!B4:B11)</x:f>
        <x:v>8</x:v>
      </x:c>
      <x:c r="C19" s="816" t="n">
        <x:f>'2026-08-28'!D12</x:f>
        <x:v>12</x:v>
      </x:c>
      <x:c r="D19" s="817" t="n">
        <x:f>'2026-08-28'!F12</x:f>
        <x:v>610.36</x:v>
      </x:c>
      <x:c r="E19" s="818" t="str">
        <x:v>详见 2026-08-28 分表</x:v>
      </x:c>
    </x:row>
    <x:row r="20" ht="26" customHeight="1">
      <x:c r="A20" s="815" t="n">
        <x:v>46264</x:v>
      </x:c>
      <x:c r="B20" s="816" t="n">
        <x:f>COUNTA('2026-08-30'!B4:B4)</x:f>
        <x:v>1</x:v>
      </x:c>
      <x:c r="C20" s="816" t="n">
        <x:f>'2026-08-30'!D5</x:f>
        <x:v>2</x:v>
      </x:c>
      <x:c r="D20" s="817" t="n">
        <x:f>'2026-08-30'!F5</x:f>
        <x:v>31.6</x:v>
      </x:c>
      <x:c r="E20" s="818" t="str">
        <x:v>详见 2026-08-30 分表</x:v>
      </x:c>
    </x:row>
    <x:row r="21" ht="26" customHeight="1">
      <x:c r="A21" s="837" t="str">
        <x:v>总计</x:v>
      </x:c>
      <x:c r="B21" s="838" t="n">
        <x:f>SUM(B5:B20)</x:f>
        <x:v>90</x:v>
      </x:c>
      <x:c r="C21" s="838" t="n">
        <x:f>SUM(C5:C20)</x:f>
        <x:v>127</x:v>
      </x:c>
      <x:c r="D21" s="839" t="n">
        <x:f>SUM(D5:D20)</x:f>
        <x:v>9231.69</x:v>
      </x:c>
      <x:c r="E21" s="840" t="str">
        <x:v>全部采购记录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10" hidden="0" customWidth="1"/>
    <x:col min="5" max="5" width="13" hidden="0" customWidth="1"/>
    <x:col min="6" max="6" width="14" hidden="0" customWidth="1"/>
    <x:col min="7" max="7" width="25" hidden="0" customWidth="1"/>
    <x:col min="8" max="8" width="48" hidden="0" customWidth="1"/>
  </x:cols>
  <x:sheetData>
    <x:row r="1" ht="32" customHeight="1">
      <x:c r="A1" s="50" t="str">
        <x:v>2026-07-24 采购清单</x:v>
      </x:c>
      <x:c r="B1" s="50"/>
      <x:c r="C1" s="50"/>
      <x:c r="D1" s="50"/>
      <x:c r="E1" s="50"/>
      <x:c r="F1" s="50"/>
      <x:c r="G1" s="50"/>
      <x:c r="H1" s="50"/>
    </x:row>
    <x:row r="2" ht="22" customHeight="1">
      <x:c r="A2" s="53" t="str">
        <x:v>采购日期：2026-07-24</x:v>
      </x:c>
      <x:c r="B2" s="53"/>
      <x:c r="C2" s="53"/>
      <x:c r="D2" s="53"/>
      <x:c r="E2" s="53"/>
      <x:c r="F2" s="53"/>
      <x:c r="G2" s="53"/>
      <x:c r="H2" s="53"/>
    </x:row>
    <x:row r="3" ht="26" customHeight="1">
      <x:c r="A3" s="59" t="str">
        <x:v>序号</x:v>
      </x:c>
      <x:c r="B3" s="59" t="str">
        <x:v>商品名称</x:v>
      </x:c>
      <x:c r="C3" s="59" t="str">
        <x:v>规格/型号</x:v>
      </x:c>
      <x:c r="D3" s="59" t="str">
        <x:v>数量</x:v>
      </x:c>
      <x:c r="E3" s="59" t="str">
        <x:v>单价（元）</x:v>
      </x:c>
      <x:c r="F3" s="59" t="str">
        <x:v>金额（元）</x:v>
      </x:c>
      <x:c r="G3" s="59" t="str">
        <x:v>店铺</x:v>
      </x:c>
      <x:c r="H3" s="59" t="str">
        <x:v>备注</x:v>
      </x:c>
    </x:row>
    <x:row r="4" ht="36" customHeight="1">
      <x:c r="A4" s="18" t="n">
        <x:v>1</x:v>
      </x:c>
      <x:c r="B4" s="17" t="str">
        <x:v>12V锂电池充电器</x:v>
      </x:c>
      <x:c r="C4" s="17" t="str">
        <x:v>12-12.6V/1A-2A/5.5mm圆孔/线长1米</x:v>
      </x:c>
      <x:c r="D4" s="18" t="n">
        <x:v>1</x:v>
      </x:c>
      <x:c r="E4" s="20" t="n">
        <x:v>12.5</x:v>
      </x:c>
      <x:c r="F4" s="20" t="n">
        <x:f>D4*E4</x:f>
        <x:v>12.5</x:v>
      </x:c>
      <x:c r="G4" s="17" t="str">
        <x:v>浩可充电器实力工厂</x:v>
      </x:c>
      <x:c r="H4" s="17" t="str">
        <x:v>确认订单优惠后价格</x:v>
      </x:c>
    </x:row>
    <x:row r="5" ht="36" customHeight="1">
      <x:c r="A5" s="18" t="n">
        <x:v>2</x:v>
      </x:c>
      <x:c r="B5" s="17" t="str">
        <x:v>公牛六位总控插座</x:v>
      </x:c>
      <x:c r="C5" s="17" t="str">
        <x:v>B9330/全长1.8米</x:v>
      </x:c>
      <x:c r="D5" s="18" t="n">
        <x:v>1</x:v>
      </x:c>
      <x:c r="E5" s="20" t="n">
        <x:v>38</x:v>
      </x:c>
      <x:c r="F5" s="20" t="n">
        <x:f>D5*E5</x:f>
        <x:v>38</x:v>
      </x:c>
      <x:c r="G5" s="17" t="str">
        <x:v>公牛多德专卖店</x:v>
      </x:c>
      <x:c r="H5" s="17" t="str">
        <x:v>确认订单补贴后价格</x:v>
      </x:c>
    </x:row>
    <x:row r="6" ht="28" customHeight="1">
      <x:c r="A6" s="64" t="str">
        <x:v>本日合计</x:v>
      </x:c>
      <x:c r="B6" s="64"/>
      <x:c r="C6" s="64"/>
      <x:c r="D6" s="66" t="n">
        <x:f>SUM(D4:D5)</x:f>
        <x:v>2</x:v>
      </x:c>
      <x:c r="E6" s="63"/>
      <x:c r="F6" s="68" t="n">
        <x:f>SUM(F4:F5)</x:f>
        <x:v>50.5</x:v>
      </x:c>
      <x:c r="G6" s="63"/>
      <x:c r="H6" s="63"/>
    </x:row>
  </x:sheetData>
  <x:mergeCells>
    <x:mergeCell ref="A1:H1"/>
    <x:mergeCell ref="A2:H2"/>
    <x:mergeCell ref="A6:C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10" hidden="0" customWidth="1"/>
    <x:col min="5" max="5" width="13" hidden="0" customWidth="1"/>
    <x:col min="6" max="6" width="14" hidden="0" customWidth="1"/>
    <x:col min="7" max="7" width="25" hidden="0" customWidth="1"/>
    <x:col min="8" max="8" width="48" hidden="0" customWidth="1"/>
  </x:cols>
  <x:sheetData>
    <x:row r="1" ht="32" customHeight="1">
      <x:c r="A1" s="89" t="str">
        <x:v>2026-07-28 采购清单</x:v>
      </x:c>
      <x:c r="B1" s="89"/>
      <x:c r="C1" s="89"/>
      <x:c r="D1" s="89"/>
      <x:c r="E1" s="89"/>
      <x:c r="F1" s="89"/>
      <x:c r="G1" s="89"/>
      <x:c r="H1" s="89"/>
    </x:row>
    <x:row r="2" ht="22" customHeight="1">
      <x:c r="A2" s="92" t="str">
        <x:v>采购日期：2026-07-28</x:v>
      </x:c>
      <x:c r="B2" s="92"/>
      <x:c r="C2" s="92"/>
      <x:c r="D2" s="92"/>
      <x:c r="E2" s="92"/>
      <x:c r="F2" s="92"/>
      <x:c r="G2" s="92"/>
      <x:c r="H2" s="92"/>
    </x:row>
    <x:row r="3" ht="26" customHeight="1">
      <x:c r="A3" s="98" t="str">
        <x:v>序号</x:v>
      </x:c>
      <x:c r="B3" s="98" t="str">
        <x:v>商品名称</x:v>
      </x:c>
      <x:c r="C3" s="98" t="str">
        <x:v>规格/型号</x:v>
      </x:c>
      <x:c r="D3" s="98" t="str">
        <x:v>数量</x:v>
      </x:c>
      <x:c r="E3" s="98" t="str">
        <x:v>单价（元）</x:v>
      </x:c>
      <x:c r="F3" s="98" t="str">
        <x:v>金额（元）</x:v>
      </x:c>
      <x:c r="G3" s="98" t="str">
        <x:v>店铺</x:v>
      </x:c>
      <x:c r="H3" s="98" t="str">
        <x:v>备注</x:v>
      </x:c>
    </x:row>
    <x:row r="4" ht="32" customHeight="1">
      <x:c r="A4" s="18" t="n">
        <x:v>1</x:v>
      </x:c>
      <x:c r="B4" s="17" t="str">
        <x:v>顺丰快递费</x:v>
      </x:c>
      <x:c r="C4" s="17" t="str"/>
      <x:c r="D4" s="46"/>
      <x:c r="E4" s="20" t="n">
        <x:v>27</x:v>
      </x:c>
      <x:c r="F4" s="20" t="n">
        <x:f>IF(D4="",E4,D4*E4)</x:f>
        <x:v>27</x:v>
      </x:c>
      <x:c r="G4" s="17" t="str">
        <x:v>顺丰</x:v>
      </x:c>
      <x:c r="H4" s="17" t="str">
        <x:v>今日快递费</x:v>
      </x:c>
    </x:row>
    <x:row r="5" ht="42" customHeight="1">
      <x:c r="A5" s="158" t="n">
        <x:v>2</x:v>
      </x:c>
      <x:c r="B5" s="159" t="str">
        <x:v>单头六角铜柱</x:v>
      </x:c>
      <x:c r="C5" s="159" t="str">
        <x:v>M3*24+6（20支）</x:v>
      </x:c>
      <x:c r="D5" s="171" t="n">
        <x:v>1</x:v>
      </x:c>
      <x:c r="E5" s="173" t="n">
        <x:v>8.01</x:v>
      </x:c>
      <x:c r="F5" s="173" t="n">
        <x:f>D5*E5</x:f>
        <x:v>8.01</x:v>
      </x:c>
      <x:c r="G5" s="159" t="str">
        <x:v>固万基官方旗舰店</x:v>
      </x:c>
      <x:c r="H5" s="159" t="str">
        <x:v>优惠后价；先用后付</x:v>
      </x:c>
    </x:row>
    <x:row r="6" ht="42" customHeight="1">
      <x:c r="A6" s="158" t="n">
        <x:v>3</x:v>
      </x:c>
      <x:c r="B6" s="159" t="str">
        <x:v>单头六角铜柱</x:v>
      </x:c>
      <x:c r="C6" s="159" t="str">
        <x:v>M3*37+6（20支）</x:v>
      </x:c>
      <x:c r="D6" s="171" t="n">
        <x:v>1</x:v>
      </x:c>
      <x:c r="E6" s="173" t="n">
        <x:v>14.4</x:v>
      </x:c>
      <x:c r="F6" s="173" t="n">
        <x:f>D6*E6</x:f>
        <x:v>14.4</x:v>
      </x:c>
      <x:c r="G6" s="159" t="str">
        <x:v>固万基官方旗舰店</x:v>
      </x:c>
      <x:c r="H6" s="159" t="str">
        <x:v>优惠后价；先用后付</x:v>
      </x:c>
    </x:row>
    <x:row r="7" ht="42" customHeight="1">
      <x:c r="A7" s="158" t="n">
        <x:v>4</x:v>
      </x:c>
      <x:c r="B7" s="159" t="str">
        <x:v>钳子三件套</x:v>
      </x:c>
      <x:c r="C7" s="159" t="str">
        <x:v>8寸工业级套装（老虎钳+斜嘴钳+尖嘴钳）</x:v>
      </x:c>
      <x:c r="D7" s="171" t="n">
        <x:v>1</x:v>
      </x:c>
      <x:c r="E7" s="173" t="n">
        <x:v>26.27</x:v>
      </x:c>
      <x:c r="F7" s="173" t="n">
        <x:f>D7*E7</x:f>
        <x:v>26.27</x:v>
      </x:c>
      <x:c r="G7" s="159" t="str">
        <x:v>天天特卖工厂</x:v>
      </x:c>
      <x:c r="H7" s="159" t="str">
        <x:v>补贴后价；先用后付</x:v>
      </x:c>
    </x:row>
    <x:row r="8" ht="42" customHeight="1">
      <x:c r="A8" s="158" t="n">
        <x:v>5</x:v>
      </x:c>
      <x:c r="B8" s="159" t="str">
        <x:v>XT60公母插头</x:v>
      </x:c>
      <x:c r="C8" s="159" t="str">
        <x:v>XT60公头12AWG，3.4平方，30厘米，5条</x:v>
      </x:c>
      <x:c r="D8" s="171" t="n">
        <x:v>1</x:v>
      </x:c>
      <x:c r="E8" s="173" t="n">
        <x:v>26</x:v>
      </x:c>
      <x:c r="F8" s="173" t="n">
        <x:f>D8*E8</x:f>
        <x:v>26</x:v>
      </x:c>
      <x:c r="G8" s="159" t="str">
        <x:v>创未良品电子科技有限公司</x:v>
      </x:c>
      <x:c r="H8" s="159" t="str">
        <x:v>优惠后价；先用后付</x:v>
      </x:c>
    </x:row>
    <x:row r="9" ht="30" customHeight="1">
      <x:c r="A9" s="168" t="str">
        <x:v>本日合计</x:v>
      </x:c>
      <x:c r="B9" s="168"/>
      <x:c r="C9" s="168"/>
      <x:c r="D9" s="172" t="n">
        <x:f>SUM(D4:D8)</x:f>
        <x:v>4</x:v>
      </x:c>
      <x:c r="E9" s="174"/>
      <x:c r="F9" s="175" t="n">
        <x:f>SUM(F4:F8)</x:f>
        <x:v>101.67999999999999</x:v>
      </x:c>
      <x:c r="G9" s="166"/>
      <x:c r="H9" s="166"/>
    </x:row>
  </x:sheetData>
  <x:mergeCells>
    <x:mergeCell ref="A1:H1"/>
    <x:mergeCell ref="A2:H2"/>
    <x:mergeCell ref="A9:C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1" hidden="0" customWidth="1"/>
    <x:col min="5" max="5" width="14" hidden="0" customWidth="1"/>
    <x:col min="6" max="6" width="15" hidden="0" customWidth="1"/>
    <x:col min="7" max="7" width="27" hidden="0" customWidth="1"/>
    <x:col min="8" max="8" width="48" hidden="0" customWidth="1"/>
  </x:cols>
  <x:sheetData>
    <x:row r="1" ht="30" customHeight="1">
      <x:c r="A1" s="179" t="str">
        <x:v>2026-07-29 采购清单</x:v>
      </x:c>
      <x:c r="B1" s="179"/>
      <x:c r="C1" s="179"/>
      <x:c r="D1" s="179"/>
      <x:c r="E1" s="179"/>
      <x:c r="F1" s="179"/>
      <x:c r="G1" s="179"/>
      <x:c r="H1" s="179"/>
    </x:row>
    <x:row r="2" ht="22" customHeight="1">
      <x:c r="A2" s="183" t="str">
        <x:v>采购日期：2026-07-29</x:v>
      </x:c>
      <x:c r="B2" s="183"/>
      <x:c r="C2" s="183"/>
      <x:c r="D2" s="183"/>
      <x:c r="E2" s="183"/>
      <x:c r="F2" s="183"/>
      <x:c r="G2" s="183"/>
      <x:c r="H2" s="183"/>
    </x:row>
    <x:row r="3" ht="26" customHeight="1">
      <x:c r="A3" s="189" t="str">
        <x:v>序号</x:v>
      </x:c>
      <x:c r="B3" s="189" t="str">
        <x:v>商品名称</x:v>
      </x:c>
      <x:c r="C3" s="189" t="str">
        <x:v>规格/型号</x:v>
      </x:c>
      <x:c r="D3" s="189" t="str">
        <x:v>数量</x:v>
      </x:c>
      <x:c r="E3" s="189" t="str">
        <x:v>单价（元）</x:v>
      </x:c>
      <x:c r="F3" s="189" t="str">
        <x:v>金额（元）</x:v>
      </x:c>
      <x:c r="G3" s="189" t="str">
        <x:v>店铺</x:v>
      </x:c>
      <x:c r="H3" s="189" t="str">
        <x:v>备注</x:v>
      </x:c>
    </x:row>
    <x:row r="4" ht="52" customHeight="1">
      <x:c r="A4" s="195" t="n">
        <x:v>1</x:v>
      </x:c>
      <x:c r="B4" s="197" t="str">
        <x:v>DC-DC降压模块</x:v>
      </x:c>
      <x:c r="C4" s="197" t="str">
        <x:v>QS-1205CBUM-10A / DC-DC 5V 10A</x:v>
      </x:c>
      <x:c r="D4" s="204" t="n">
        <x:v>1</x:v>
      </x:c>
      <x:c r="E4" s="206" t="n">
        <x:v>17.6</x:v>
      </x:c>
      <x:c r="F4" s="206" t="n">
        <x:f>D4*E4</x:f>
        <x:v>17.6</x:v>
      </x:c>
      <x:c r="G4" s="197" t="str">
        <x:v>深圳市优信电子科技有限公司</x:v>
      </x:c>
      <x:c r="H4" s="197" t="str">
        <x:v>实付款17.60元</x:v>
      </x:c>
    </x:row>
    <x:row r="5" ht="52" customHeight="1">
      <x:c r="A5" s="195" t="n">
        <x:v>2</x:v>
      </x:c>
      <x:c r="B5" s="197" t="str">
        <x:v>水下机器人ROV探照灯</x:v>
      </x:c>
      <x:c r="C5" s="197" t="str">
        <x:v>Ardusub脉宽控制 / 光束角100° / 2500流明 / 8-30V宽压 / PWM驱动</x:v>
      </x:c>
      <x:c r="D5" s="204" t="n">
        <x:v>1</x:v>
      </x:c>
      <x:c r="E5" s="206" t="n">
        <x:v>306</x:v>
      </x:c>
      <x:c r="F5" s="206" t="n">
        <x:f>D5*E5</x:f>
        <x:v>306</x:v>
      </x:c>
      <x:c r="G5" s="197" t="str">
        <x:v>EXOCEAN拓洲智能</x:v>
      </x:c>
      <x:c r="H5" s="197" t="str">
        <x:v>商品标价294元；实付款306元（含运费12元）</x:v>
      </x:c>
    </x:row>
    <x:row r="6" ht="52" customHeight="1">
      <x:c r="A6" s="195" t="n">
        <x:v>3</x:v>
      </x:c>
      <x:c r="B6" s="197" t="str">
        <x:v>USB转RS232/TTL通讯模块</x:v>
      </x:c>
      <x:c r="C6" s="197" t="str">
        <x:v>Y804（USB转TTL）/ 通讯电平5V</x:v>
      </x:c>
      <x:c r="D6" s="204" t="n">
        <x:v>1</x:v>
      </x:c>
      <x:c r="E6" s="206" t="n">
        <x:v>16.4</x:v>
      </x:c>
      <x:c r="F6" s="206" t="n">
        <x:f>D6*E6</x:f>
        <x:v>16.4</x:v>
      </x:c>
      <x:c r="G6" s="197" t="str">
        <x:v>雨伽量旗舰店</x:v>
      </x:c>
      <x:c r="H6" s="197" t="str">
        <x:v>实付款16.40元</x:v>
      </x:c>
    </x:row>
    <x:row r="7" ht="30" customHeight="1">
      <x:c r="A7" s="202" t="str">
        <x:v>本日合计</x:v>
      </x:c>
      <x:c r="B7" s="202"/>
      <x:c r="C7" s="202"/>
      <x:c r="D7" s="205" t="n">
        <x:f>SUM(D4:D6)</x:f>
        <x:v>3</x:v>
      </x:c>
      <x:c r="E7" s="207"/>
      <x:c r="F7" s="208" t="n">
        <x:f>SUM(F4:F6)</x:f>
        <x:v>340</x:v>
      </x:c>
      <x:c r="G7" s="201"/>
      <x:c r="H7" s="201"/>
    </x:row>
  </x:sheetData>
  <x:mergeCells>
    <x:mergeCell ref="A1:H1"/>
    <x:mergeCell ref="A2:H2"/>
    <x:mergeCell ref="A7:C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11" hidden="0" customWidth="1"/>
    <x:col min="5" max="5" width="14" hidden="0" customWidth="1"/>
    <x:col min="6" max="6" width="15" hidden="0" customWidth="1"/>
    <x:col min="7" max="7" width="27" hidden="0" customWidth="1"/>
    <x:col min="8" max="8" width="48" hidden="0" customWidth="1"/>
  </x:cols>
  <x:sheetData>
    <x:row r="1" ht="30" customHeight="1">
      <x:c r="A1" s="234" t="str">
        <x:v>2026-08-03 采购清单</x:v>
      </x:c>
      <x:c r="B1" s="234"/>
      <x:c r="C1" s="234"/>
      <x:c r="D1" s="234"/>
      <x:c r="E1" s="234"/>
      <x:c r="F1" s="234"/>
      <x:c r="G1" s="234"/>
      <x:c r="H1" s="234"/>
    </x:row>
    <x:row r="2" ht="22" customHeight="1">
      <x:c r="A2" s="238" t="str">
        <x:v>采购日期：2026-08-03</x:v>
      </x:c>
      <x:c r="B2" s="238"/>
      <x:c r="C2" s="238"/>
      <x:c r="D2" s="238"/>
      <x:c r="E2" s="238"/>
      <x:c r="F2" s="238"/>
      <x:c r="G2" s="238"/>
      <x:c r="H2" s="238"/>
    </x:row>
    <x:row r="3" ht="26" customHeight="1">
      <x:c r="A3" s="244" t="str">
        <x:v>序号</x:v>
      </x:c>
      <x:c r="B3" s="244" t="str">
        <x:v>商品名称</x:v>
      </x:c>
      <x:c r="C3" s="244" t="str">
        <x:v>规格/型号</x:v>
      </x:c>
      <x:c r="D3" s="244" t="str">
        <x:v>数量</x:v>
      </x:c>
      <x:c r="E3" s="244" t="str">
        <x:v>单价（元）</x:v>
      </x:c>
      <x:c r="F3" s="244" t="str">
        <x:v>金额（元）</x:v>
      </x:c>
      <x:c r="G3" s="244" t="str">
        <x:v>店铺</x:v>
      </x:c>
      <x:c r="H3" s="244" t="str">
        <x:v>备注</x:v>
      </x:c>
    </x:row>
    <x:row r="4" ht="48" customHeight="1">
      <x:c r="A4" s="250" t="n">
        <x:v>1</x:v>
      </x:c>
      <x:c r="B4" s="252" t="str">
        <x:v>304不锈钢十字圆头机牙螺钉</x:v>
      </x:c>
      <x:c r="C4" s="252" t="str">
        <x:v>M3*22 / 100个</x:v>
      </x:c>
      <x:c r="D4" s="259" t="n">
        <x:v>1</x:v>
      </x:c>
      <x:c r="E4" s="261" t="n">
        <x:v>5.15</x:v>
      </x:c>
      <x:c r="F4" s="261" t="n">
        <x:f>D4*E4</x:f>
        <x:v>5.15</x:v>
      </x:c>
      <x:c r="G4" s="252" t="str">
        <x:v>佰瑞特官方旗舰店</x:v>
      </x:c>
      <x:c r="H4" s="252" t="str">
        <x:v>先用后付；确认收货后应付5.15元</x:v>
      </x:c>
    </x:row>
    <x:row r="5" ht="48" customHeight="1">
      <x:c r="A5" s="250" t="n">
        <x:v>2</x:v>
      </x:c>
      <x:c r="B5" s="252" t="str">
        <x:v>304不锈钢十字圆头机牙螺钉</x:v>
      </x:c>
      <x:c r="C5" s="252" t="str">
        <x:v>M3*20 / 100个</x:v>
      </x:c>
      <x:c r="D5" s="259" t="n">
        <x:v>1</x:v>
      </x:c>
      <x:c r="E5" s="261" t="n">
        <x:v>4.87</x:v>
      </x:c>
      <x:c r="F5" s="261" t="n">
        <x:f>D5*E5</x:f>
        <x:v>4.87</x:v>
      </x:c>
      <x:c r="G5" s="252" t="str">
        <x:v>佰瑞特官方旗舰店</x:v>
      </x:c>
      <x:c r="H5" s="252" t="str">
        <x:v>先用后付；确认收货后应付4.87元</x:v>
      </x:c>
    </x:row>
    <x:row r="6" ht="48" customHeight="1">
      <x:c r="A6" s="250" t="n">
        <x:v>3</x:v>
      </x:c>
      <x:c r="B6" s="252" t="str">
        <x:v>304不锈钢防松锁紧螺母</x:v>
      </x:c>
      <x:c r="C6" s="252" t="str">
        <x:v>M3 / 304材质 / 40个</x:v>
      </x:c>
      <x:c r="D6" s="259" t="n">
        <x:v>1</x:v>
      </x:c>
      <x:c r="E6" s="261" t="n">
        <x:v>1.94</x:v>
      </x:c>
      <x:c r="F6" s="261" t="n">
        <x:f>D6*E6</x:f>
        <x:v>1.94</x:v>
      </x:c>
      <x:c r="G6" s="252" t="str">
        <x:v>固万基五金科技</x:v>
      </x:c>
      <x:c r="H6" s="252" t="str">
        <x:v>先用后付；确认收货后应付1.94元</x:v>
      </x:c>
    </x:row>
    <x:row r="7" ht="30" customHeight="1">
      <x:c r="A7" s="257" t="str">
        <x:v>本日合计</x:v>
      </x:c>
      <x:c r="B7" s="257"/>
      <x:c r="C7" s="257"/>
      <x:c r="D7" s="260" t="n">
        <x:f>SUM(D4:D6)</x:f>
        <x:v>3</x:v>
      </x:c>
      <x:c r="E7" s="262"/>
      <x:c r="F7" s="263" t="n">
        <x:f>SUM(F4:F6)</x:f>
        <x:v>11.959999999999999</x:v>
      </x:c>
      <x:c r="G7" s="256"/>
      <x:c r="H7" s="256"/>
    </x:row>
  </x:sheetData>
  <x:mergeCells>
    <x:mergeCell ref="A1:H1"/>
    <x:mergeCell ref="A2:H2"/>
    <x:mergeCell ref="A7:C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34" hidden="0" customWidth="1"/>
    <x:col min="4" max="4" width="11" hidden="0" customWidth="1"/>
    <x:col min="5" max="5" width="14" hidden="0" customWidth="1"/>
    <x:col min="6" max="6" width="15" hidden="0" customWidth="1"/>
    <x:col min="7" max="7" width="30" hidden="0" customWidth="1"/>
    <x:col min="8" max="8" width="48" hidden="0" customWidth="1"/>
  </x:cols>
  <x:sheetData>
    <x:row r="1" ht="30" customHeight="1">
      <x:c r="A1" s="341" t="str">
        <x:v>2026-08-07 采购清单</x:v>
      </x:c>
      <x:c r="B1" s="341"/>
      <x:c r="C1" s="341"/>
      <x:c r="D1" s="341"/>
      <x:c r="E1" s="341"/>
      <x:c r="F1" s="341"/>
      <x:c r="G1" s="341"/>
      <x:c r="H1" s="341"/>
    </x:row>
    <x:row r="2" ht="22" customHeight="1">
      <x:c r="A2" s="342" t="str">
        <x:v>采购日期：2026-08-07</x:v>
      </x:c>
      <x:c r="B2" s="342"/>
      <x:c r="C2" s="342"/>
      <x:c r="D2" s="342"/>
      <x:c r="E2" s="342"/>
      <x:c r="F2" s="342"/>
      <x:c r="G2" s="342"/>
      <x:c r="H2" s="342"/>
    </x:row>
    <x:row r="3" ht="26" customHeight="1">
      <x:c r="A3" s="343" t="str">
        <x:v>序号</x:v>
      </x:c>
      <x:c r="B3" s="343" t="str">
        <x:v>商品名称</x:v>
      </x:c>
      <x:c r="C3" s="343" t="str">
        <x:v>规格/型号</x:v>
      </x:c>
      <x:c r="D3" s="343" t="str">
        <x:v>数量</x:v>
      </x:c>
      <x:c r="E3" s="343" t="str">
        <x:v>单价（元）</x:v>
      </x:c>
      <x:c r="F3" s="343" t="str">
        <x:v>金额（元）</x:v>
      </x:c>
      <x:c r="G3" s="343" t="str">
        <x:v>店铺</x:v>
      </x:c>
      <x:c r="H3" s="343" t="str">
        <x:v>备注</x:v>
      </x:c>
    </x:row>
    <x:row r="4" ht="48" customHeight="1">
      <x:c r="A4" s="348" t="n">
        <x:v>1</x:v>
      </x:c>
      <x:c r="B4" s="349" t="str">
        <x:v>ROV电源板开关天启大电流控制器</x:v>
      </x:c>
      <x:c r="C4" s="349" t="str">
        <x:v>5V/12V输出 / 板载大电流MOS开关</x:v>
      </x:c>
      <x:c r="D4" s="350" t="n">
        <x:v>1</x:v>
      </x:c>
      <x:c r="E4" s="351" t="n">
        <x:v>249</x:v>
      </x:c>
      <x:c r="F4" s="351" t="n">
        <x:f>D4*E4</x:f>
        <x:v>249</x:v>
      </x:c>
      <x:c r="G4" s="349" t="str">
        <x:v>店铺名未显示</x:v>
      </x:c>
      <x:c r="H4" s="349" t="str">
        <x:v>包邮；截图未显示完整店铺名</x:v>
      </x:c>
    </x:row>
    <x:row r="5" ht="48" customHeight="1">
      <x:c r="A5" s="348" t="n">
        <x:v>2</x:v>
      </x:c>
      <x:c r="B5" s="349" t="str">
        <x:v>海目云水下机器人大深水旋钮开关</x:v>
      </x:c>
      <x:c r="C5" s="349" t="str">
        <x:v>M10开关</x:v>
      </x:c>
      <x:c r="D5" s="350" t="n">
        <x:v>1</x:v>
      </x:c>
      <x:c r="E5" s="351" t="n">
        <x:v>93.58</x:v>
      </x:c>
      <x:c r="F5" s="351" t="n">
        <x:f>D5*E5</x:f>
        <x:v>93.58</x:v>
      </x:c>
      <x:c r="G5" s="349" t="str">
        <x:v>VIOCEAN海目云海洋科技企业店</x:v>
      </x:c>
      <x:c r="H5" s="349" t="str">
        <x:v>补贴后价格</x:v>
      </x:c>
    </x:row>
    <x:row r="6" ht="48" customHeight="1">
      <x:c r="A6" s="348" t="n">
        <x:v>3</x:v>
      </x:c>
      <x:c r="B6" s="349" t="str">
        <x:v>得力办公家用不锈钢美工剪刀</x:v>
      </x:c>
      <x:c r="C6" s="349" t="str">
        <x:v>办公家用剪刀</x:v>
      </x:c>
      <x:c r="D6" s="350" t="n">
        <x:v>1</x:v>
      </x:c>
      <x:c r="E6" s="351" t="n">
        <x:v>8</x:v>
      </x:c>
      <x:c r="F6" s="351" t="n">
        <x:f>D6*E6</x:f>
        <x:v>8</x:v>
      </x:c>
      <x:c r="G6" s="349" t="str">
        <x:v>得力文具品牌旗舰店</x:v>
      </x:c>
      <x:c r="H6" s="349" t="str">
        <x:v>文具订单商品</x:v>
      </x:c>
    </x:row>
    <x:row r="7" ht="48" customHeight="1">
      <x:c r="A7" s="348" t="n">
        <x:v>4</x:v>
      </x:c>
      <x:c r="B7" s="349" t="str">
        <x:v>小鱼儿有机玻璃透明直尺</x:v>
      </x:c>
      <x:c r="C7" s="349" t="str">
        <x:v>塑料透明尺</x:v>
      </x:c>
      <x:c r="D7" s="350" t="n">
        <x:v>1</x:v>
      </x:c>
      <x:c r="E7" s="351" t="n">
        <x:v>2</x:v>
      </x:c>
      <x:c r="F7" s="351" t="n">
        <x:f>D7*E7</x:f>
        <x:v>2</x:v>
      </x:c>
      <x:c r="G7" s="349" t="str">
        <x:v>得力文具品牌旗舰店</x:v>
      </x:c>
      <x:c r="H7" s="349" t="str">
        <x:v>文具订单商品</x:v>
      </x:c>
    </x:row>
    <x:row r="8" ht="48" customHeight="1">
      <x:c r="A8" s="348" t="n">
        <x:v>5</x:v>
      </x:c>
      <x:c r="B8" s="349" t="str">
        <x:v>得力小号迷你美工刀</x:v>
      </x:c>
      <x:c r="C8" s="349" t="str">
        <x:v>拆快递迷你美工刀</x:v>
      </x:c>
      <x:c r="D8" s="350" t="n">
        <x:v>1</x:v>
      </x:c>
      <x:c r="E8" s="351" t="n">
        <x:v>3</x:v>
      </x:c>
      <x:c r="F8" s="351" t="n">
        <x:f>D8*E8</x:f>
        <x:v>3</x:v>
      </x:c>
      <x:c r="G8" s="349" t="str">
        <x:v>得力文具品牌旗舰店</x:v>
      </x:c>
      <x:c r="H8" s="349" t="str">
        <x:v>文具订单商品</x:v>
      </x:c>
    </x:row>
    <x:row r="9" ht="48" customHeight="1">
      <x:c r="A9" s="348" t="n">
        <x:v>6</x:v>
      </x:c>
      <x:c r="B9" s="349" t="str">
        <x:v>电工绝缘胶带</x:v>
      </x:c>
      <x:c r="C9" s="349" t="str">
        <x:v>PVC阻燃防水绝缘胶带</x:v>
      </x:c>
      <x:c r="D9" s="350" t="n">
        <x:v>2</x:v>
      </x:c>
      <x:c r="E9" s="351" t="n">
        <x:v>2.5</x:v>
      </x:c>
      <x:c r="F9" s="351" t="n">
        <x:f>D9*E9</x:f>
        <x:v>5</x:v>
      </x:c>
      <x:c r="G9" s="349" t="str">
        <x:v>得力文具品牌旗舰店</x:v>
      </x:c>
      <x:c r="H9" s="349" t="str">
        <x:v>2卷合计5元</x:v>
      </x:c>
    </x:row>
    <x:row r="10" ht="48" customHeight="1">
      <x:c r="A10" s="348" t="n">
        <x:v>7</x:v>
      </x:c>
      <x:c r="B10" s="349" t="str">
        <x:v>运费</x:v>
      </x:c>
      <x:c r="C10" s="349" t="str">
        <x:v>文具订单运费</x:v>
      </x:c>
      <x:c r="D10" s="350"/>
      <x:c r="E10" s="351" t="n">
        <x:v>9</x:v>
      </x:c>
      <x:c r="F10" s="351" t="n">
        <x:f>IF(D10="",E10,D10*E10)</x:f>
        <x:v>9</x:v>
      </x:c>
      <x:c r="G10" s="349" t="str">
        <x:v>得力文具品牌旗舰店</x:v>
      </x:c>
      <x:c r="H10" s="349" t="str">
        <x:v>商品金额18元；运费9元</x:v>
      </x:c>
    </x:row>
    <x:row r="11" ht="30" customHeight="1">
      <x:c r="A11" s="352" t="str">
        <x:v>本日合计</x:v>
      </x:c>
      <x:c r="B11" s="352"/>
      <x:c r="C11" s="352"/>
      <x:c r="D11" s="353" t="n">
        <x:f>SUM(D4:D10)</x:f>
        <x:v>7</x:v>
      </x:c>
      <x:c r="E11" s="354"/>
      <x:c r="F11" s="355" t="n">
        <x:f>SUM(F4:F10)</x:f>
        <x:v>369.58</x:v>
      </x:c>
      <x:c r="G11" s="356"/>
      <x:c r="H11" s="356"/>
    </x:row>
  </x:sheetData>
  <x:mergeCells>
    <x:mergeCell ref="A1:H1"/>
    <x:mergeCell ref="A2:H2"/>
    <x:mergeCell ref="A11:C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1" hidden="0" customWidth="1"/>
    <x:col min="4" max="4" width="10" hidden="0" customWidth="1"/>
    <x:col min="5" max="5" width="13" hidden="0" customWidth="1"/>
    <x:col min="6" max="6" width="13" hidden="0" customWidth="1"/>
    <x:col min="7" max="7" width="27" hidden="0" customWidth="1"/>
    <x:col min="8" max="8" width="34" hidden="0" customWidth="1"/>
  </x:cols>
  <x:sheetData>
    <x:row r="1" ht="30" customHeight="1">
      <x:c r="A1" s="399" t="str">
        <x:v>2026-08-10 采购清单</x:v>
      </x:c>
      <x:c r="B1" s="399"/>
      <x:c r="C1" s="399"/>
      <x:c r="D1" s="399"/>
      <x:c r="E1" s="399"/>
      <x:c r="F1" s="399"/>
      <x:c r="G1" s="399"/>
      <x:c r="H1" s="399"/>
    </x:row>
    <x:row r="2" ht="24" customHeight="1">
      <x:c r="A2" s="400" t="str">
        <x:v>采购日期：2026-08-10</x:v>
      </x:c>
      <x:c r="B2" s="400"/>
      <x:c r="C2" s="400"/>
      <x:c r="D2" s="400"/>
      <x:c r="E2" s="400"/>
      <x:c r="F2" s="400"/>
      <x:c r="G2" s="400"/>
      <x:c r="H2" s="400"/>
    </x:row>
    <x:row r="3" ht="32" customHeight="1">
      <x:c r="A3" s="401" t="str">
        <x:v>序号</x:v>
      </x:c>
      <x:c r="B3" s="401" t="str">
        <x:v>商品名称</x:v>
      </x:c>
      <x:c r="C3" s="401" t="str">
        <x:v>规格/型号</x:v>
      </x:c>
      <x:c r="D3" s="402" t="str">
        <x:v>数量</x:v>
      </x:c>
      <x:c r="E3" s="402" t="str">
        <x:v>单价（元）</x:v>
      </x:c>
      <x:c r="F3" s="402" t="str">
        <x:v>金额（元）</x:v>
      </x:c>
      <x:c r="G3" s="401" t="str">
        <x:v>店铺</x:v>
      </x:c>
      <x:c r="H3" s="401" t="str">
        <x:v>备注</x:v>
      </x:c>
    </x:row>
    <x:row r="4" ht="54" customHeight="1">
      <x:c r="A4" s="403" t="n">
        <x:v>1</x:v>
      </x:c>
      <x:c r="B4" s="404" t="str">
        <x:v>纯铜加粗0.5平方5A大电流Type-C公单头线</x:v>
      </x:c>
      <x:c r="C4" s="404" t="str">
        <x:v>0.3m / Type-C公单 / 黑色</x:v>
      </x:c>
      <x:c r="D4" s="405" t="n">
        <x:v>1</x:v>
      </x:c>
      <x:c r="E4" s="406" t="n">
        <x:v>4.98</x:v>
      </x:c>
      <x:c r="F4" s="406" t="n">
        <x:v>4.98</x:v>
      </x:c>
      <x:c r="G4" s="404" t="str">
        <x:v>邵深源线材工厂批发店</x:v>
      </x:c>
      <x:c r="H4" s="404" t="str">
        <x:v>先用后付；订单号3316184510600008294</x:v>
      </x:c>
    </x:row>
    <x:row r="5" ht="26" customHeight="1">
      <x:c r="A5" s="407" t="str">
        <x:v>本日合计</x:v>
      </x:c>
      <x:c r="B5" s="408"/>
      <x:c r="C5" s="408"/>
      <x:c r="D5" s="409" t="n">
        <x:v>1</x:v>
      </x:c>
      <x:c r="E5" s="410"/>
      <x:c r="F5" s="410" t="n">
        <x:v>4.98</x:v>
      </x:c>
      <x:c r="G5" s="408"/>
      <x:c r="H5" s="408"/>
    </x:row>
    <x:row r="6">
      <x:c r="A6"/>
      <x:c r="B6"/>
      <x:c r="C6"/>
      <x:c r="D6"/>
      <x:c r="E6"/>
      <x:c r="F6"/>
      <x:c r="G6"/>
      <x:c r="H6"/>
    </x:row>
  </x:sheetData>
  <x:mergeCells>
    <x:mergeCell ref="A1:H1"/>
    <x:mergeCell ref="A2:H2"/>
    <x:mergeCell ref="A5:C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1" hidden="0" customWidth="1"/>
    <x:col min="4" max="4" width="10" hidden="0" customWidth="1"/>
    <x:col min="5" max="5" width="13" hidden="0" customWidth="1"/>
    <x:col min="6" max="6" width="13" hidden="0" customWidth="1"/>
    <x:col min="7" max="7" width="27" hidden="0" customWidth="1"/>
    <x:col min="8" max="8" width="34" hidden="0" customWidth="1"/>
  </x:cols>
  <x:sheetData>
    <x:row r="1" ht="30" customHeight="1">
      <x:c r="A1" s="439" t="str">
        <x:v>2026-08-14 采购清单</x:v>
      </x:c>
      <x:c r="B1" s="439"/>
      <x:c r="C1" s="439"/>
      <x:c r="D1" s="439"/>
      <x:c r="E1" s="439"/>
      <x:c r="F1" s="439"/>
      <x:c r="G1" s="439"/>
      <x:c r="H1" s="439"/>
    </x:row>
    <x:row r="2" ht="24" customHeight="1">
      <x:c r="A2" s="443" t="str">
        <x:v>采购日期：2026-08-14</x:v>
      </x:c>
      <x:c r="B2" s="443"/>
      <x:c r="C2" s="443"/>
      <x:c r="D2" s="443"/>
      <x:c r="E2" s="443"/>
      <x:c r="F2" s="443"/>
      <x:c r="G2" s="443"/>
      <x:c r="H2" s="443"/>
    </x:row>
    <x:row r="3" ht="32" customHeight="1">
      <x:c r="A3" s="449" t="str">
        <x:v>序号</x:v>
      </x:c>
      <x:c r="B3" s="449" t="str">
        <x:v>商品名称</x:v>
      </x:c>
      <x:c r="C3" s="449" t="str">
        <x:v>规格/型号</x:v>
      </x:c>
      <x:c r="D3" s="457" t="str">
        <x:v>数量</x:v>
      </x:c>
      <x:c r="E3" s="457" t="str">
        <x:v>单价（元）</x:v>
      </x:c>
      <x:c r="F3" s="457" t="str">
        <x:v>金额（元）</x:v>
      </x:c>
      <x:c r="G3" s="449" t="str">
        <x:v>店铺</x:v>
      </x:c>
      <x:c r="H3" s="449" t="str">
        <x:v>备注</x:v>
      </x:c>
    </x:row>
    <x:row r="4" ht="46" customHeight="1">
      <x:c r="A4" s="403" t="n">
        <x:v>1</x:v>
      </x:c>
      <x:c r="B4" s="404" t="str">
        <x:v>热熔胶枪</x:v>
      </x:c>
      <x:c r="C4" s="404" t="str">
        <x:v>7mm胶棒适用 / 不含胶棒</x:v>
      </x:c>
      <x:c r="D4" s="405" t="n">
        <x:v>1</x:v>
      </x:c>
      <x:c r="E4" s="406" t="n">
        <x:v>20.2</x:v>
      </x:c>
      <x:c r="F4" s="406" t="n">
        <x:f>D4*E4</x:f>
        <x:v>20.2</x:v>
      </x:c>
      <x:c r="G4" s="404" t="str">
        <x:v>咚宜佳超市（大学城店）</x:v>
      </x:c>
      <x:c r="H4" s="404" t="str">
        <x:v>实付价</x:v>
      </x:c>
    </x:row>
    <x:row r="5" ht="46" customHeight="1">
      <x:c r="A5" s="403" t="n">
        <x:v>2</x:v>
      </x:c>
      <x:c r="B5" s="404" t="str">
        <x:v>热熔胶棒</x:v>
      </x:c>
      <x:c r="C5" s="404" t="str">
        <x:v>7mm / 1条装</x:v>
      </x:c>
      <x:c r="D5" s="405" t="n">
        <x:v>10</x:v>
      </x:c>
      <x:c r="E5" s="406" t="n">
        <x:v>0.43</x:v>
      </x:c>
      <x:c r="F5" s="406" t="n">
        <x:f>D5*E5</x:f>
        <x:v>4.3</x:v>
      </x:c>
      <x:c r="G5" s="404" t="str">
        <x:v>咚宜佳超市（大学城店）</x:v>
      </x:c>
      <x:c r="H5" s="404" t="str">
        <x:v>10条合计4.30元</x:v>
      </x:c>
    </x:row>
    <x:row r="6" ht="46" customHeight="1">
      <x:c r="A6" s="403" t="n">
        <x:v>3</x:v>
      </x:c>
      <x:c r="B6" s="404" t="str">
        <x:v>打包费</x:v>
      </x:c>
      <x:c r="C6" s="404" t="str">
        <x:v>订单打包费</x:v>
      </x:c>
      <x:c r="D6" s="405"/>
      <x:c r="E6" s="406" t="n">
        <x:v>1</x:v>
      </x:c>
      <x:c r="F6" s="406" t="n">
        <x:v>1</x:v>
      </x:c>
      <x:c r="G6" s="404" t="str">
        <x:v>咚宜佳超市（大学城店）</x:v>
      </x:c>
      <x:c r="H6" s="404" t="str">
        <x:v>商品24.50元；打包费1.00元</x:v>
      </x:c>
    </x:row>
    <x:row r="7" ht="26" customHeight="1">
      <x:c r="A7" s="456" t="str">
        <x:v>本日合计</x:v>
      </x:c>
      <x:c r="B7" s="455"/>
      <x:c r="C7" s="455"/>
      <x:c r="D7" s="460" t="n">
        <x:f>SUM(D4:D5)</x:f>
        <x:v>11</x:v>
      </x:c>
      <x:c r="E7" s="461"/>
      <x:c r="F7" s="461" t="n">
        <x:f>SUM(F4:F6)</x:f>
        <x:v>25.5</x:v>
      </x:c>
      <x:c r="G7" s="455"/>
      <x:c r="H7" s="455"/>
    </x:row>
  </x:sheetData>
  <x:mergeCells>
    <x:mergeCell ref="A1:H1"/>
    <x:mergeCell ref="A2:H2"/>
    <x:mergeCell ref="A7:C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8" hidden="0" customWidth="1"/>
    <x:col min="5" max="5" width="10" hidden="0" customWidth="1"/>
    <x:col min="6" max="6" width="10" hidden="0" customWidth="1"/>
    <x:col min="7" max="7" width="22" hidden="0" customWidth="1"/>
    <x:col min="8" max="8" width="27" hidden="0" customWidth="1"/>
  </x:cols>
  <x:sheetData>
    <x:row r="1" ht="28" customHeight="1">
      <x:c r="A1" s="488" t="str">
        <x:v>2026-08-17 采购清单</x:v>
      </x:c>
      <x:c r="B1" s="488"/>
      <x:c r="C1" s="488"/>
      <x:c r="D1" s="488"/>
      <x:c r="E1" s="488"/>
      <x:c r="F1" s="488"/>
      <x:c r="G1" s="488"/>
      <x:c r="H1" s="488"/>
    </x:row>
    <x:row r="2" ht="22" customHeight="1">
      <x:c r="A2" s="492" t="str">
        <x:v>采购日期：2026-08-17</x:v>
      </x:c>
      <x:c r="B2" s="492"/>
      <x:c r="C2" s="492"/>
      <x:c r="D2" s="492"/>
      <x:c r="E2" s="492"/>
      <x:c r="F2" s="492"/>
      <x:c r="G2" s="492"/>
      <x:c r="H2" s="492"/>
    </x:row>
    <x:row r="3" ht="30" customHeight="1">
      <x:c r="A3" s="498" t="str">
        <x:v>序号</x:v>
      </x:c>
      <x:c r="B3" s="498" t="str">
        <x:v>商品名称</x:v>
      </x:c>
      <x:c r="C3" s="498" t="str">
        <x:v>规格/型号</x:v>
      </x:c>
      <x:c r="D3" s="498" t="str">
        <x:v>数量</x:v>
      </x:c>
      <x:c r="E3" s="498" t="str">
        <x:v>单价（元）</x:v>
      </x:c>
      <x:c r="F3" s="498" t="str">
        <x:v>金额（元）</x:v>
      </x:c>
      <x:c r="G3" s="498" t="str">
        <x:v>店铺</x:v>
      </x:c>
      <x:c r="H3" s="498" t="str">
        <x:v>备注</x:v>
      </x:c>
    </x:row>
    <x:row r="4" ht="42" customHeight="1">
      <x:c r="A4" s="511" t="n">
        <x:v>1</x:v>
      </x:c>
      <x:c r="B4" s="512" t="str">
        <x:v>美标特软硅胶线</x:v>
      </x:c>
      <x:c r="C4" s="512" t="str">
        <x:v>28AWG / 黑色 / 10米/卷</x:v>
      </x:c>
      <x:c r="D4" s="511" t="n">
        <x:v>1</x:v>
      </x:c>
      <x:c r="E4" s="517" t="n">
        <x:v>8.49</x:v>
      </x:c>
      <x:c r="F4" s="517" t="n">
        <x:f>D4*E4</x:f>
        <x:v>8.49</x:v>
      </x:c>
      <x:c r="G4" s="512" t="str">
        <x:v>skygod旗舰店</x:v>
      </x:c>
      <x:c r="H4" s="512" t="str">
        <x:v>优惠后价；先用后付</x:v>
      </x:c>
    </x:row>
    <x:row r="5" ht="42" customHeight="1">
      <x:c r="A5" s="511" t="n">
        <x:v>2</x:v>
      </x:c>
      <x:c r="B5" s="512" t="str">
        <x:v>美标特软硅胶线</x:v>
      </x:c>
      <x:c r="C5" s="512" t="str">
        <x:v>28AWG / 红色 / 10米/卷</x:v>
      </x:c>
      <x:c r="D5" s="511" t="n">
        <x:v>1</x:v>
      </x:c>
      <x:c r="E5" s="517" t="n">
        <x:v>8.49</x:v>
      </x:c>
      <x:c r="F5" s="517" t="n">
        <x:f>D5*E5</x:f>
        <x:v>8.49</x:v>
      </x:c>
      <x:c r="G5" s="512" t="str">
        <x:v>skygod旗舰店</x:v>
      </x:c>
      <x:c r="H5" s="512" t="str">
        <x:v>优惠后价；先用后付</x:v>
      </x:c>
    </x:row>
    <x:row r="6" ht="42" customHeight="1">
      <x:c r="A6" s="511" t="n">
        <x:v>3</x:v>
      </x:c>
      <x:c r="B6" s="512" t="str">
        <x:v>XT60母对母延长线</x:v>
      </x:c>
      <x:c r="C6" s="512" t="str">
        <x:v>0.2m / XT60母对母 / 10AWG（5.3mm²）</x:v>
      </x:c>
      <x:c r="D6" s="511" t="n">
        <x:v>1</x:v>
      </x:c>
      <x:c r="E6" s="517" t="n">
        <x:v>15.88</x:v>
      </x:c>
      <x:c r="F6" s="517" t="n">
        <x:f>D6*E6</x:f>
        <x:v>15.88</x:v>
      </x:c>
      <x:c r="G6" s="512" t="str">
        <x:v>安捷达线束</x:v>
      </x:c>
      <x:c r="H6" s="512" t="str">
        <x:v>免密支付；包邮</x:v>
      </x:c>
    </x:row>
    <x:row r="7" ht="42" customHeight="1">
      <x:c r="A7" s="511" t="n">
        <x:v>4</x:v>
      </x:c>
      <x:c r="B7" s="512" t="str">
        <x:v>六角铜柱机箱螺丝钉</x:v>
      </x:c>
      <x:c r="C7" s="512" t="str">
        <x:v>M3×20+6 / 20颗</x:v>
      </x:c>
      <x:c r="D7" s="511" t="n">
        <x:v>1</x:v>
      </x:c>
      <x:c r="E7" s="517" t="n">
        <x:v>5.66</x:v>
      </x:c>
      <x:c r="F7" s="517" t="n">
        <x:f>D7*E7</x:f>
        <x:v>5.66</x:v>
      </x:c>
      <x:c r="G7" s="512" t="str">
        <x:v>固万基官方旗舰店</x:v>
      </x:c>
      <x:c r="H7" s="512" t="str">
        <x:v>优惠后价；先用后付</x:v>
      </x:c>
    </x:row>
    <x:row r="8" ht="54" customHeight="1">
      <x:c r="A8" s="563" t="n">
        <x:v>5</x:v>
      </x:c>
      <x:c r="B8" s="566" t="str">
        <x:v>304不锈钢杯头内六角螺钉</x:v>
      </x:c>
      <x:c r="C8" s="566" t="str">
        <x:v>M3×16 / 100个</x:v>
      </x:c>
      <x:c r="D8" s="563" t="n">
        <x:v>1</x:v>
      </x:c>
      <x:c r="E8" s="564" t="n">
        <x:v>3.63</x:v>
      </x:c>
      <x:c r="F8" s="564" t="n">
        <x:f>D8*E8</x:f>
        <x:v>3.63</x:v>
      </x:c>
      <x:c r="G8" s="566" t="str">
        <x:v>楚卫旗舰店</x:v>
      </x:c>
      <x:c r="H8" s="566" t="str">
        <x:v>先用后付；当前实付0元，预计自动扣款3.63元；订单号3316977480159071850</x:v>
      </x:c>
    </x:row>
    <x:row r="9" ht="26" customHeight="1">
      <x:c r="A9" s="575" t="str">
        <x:v>本日合计</x:v>
      </x:c>
      <x:c r="B9" s="576"/>
      <x:c r="C9" s="576"/>
      <x:c r="D9" s="576" t="n">
        <x:f>SUM(D4:D8)</x:f>
        <x:v>5</x:v>
      </x:c>
      <x:c r="E9" s="578"/>
      <x:c r="F9" s="578" t="n">
        <x:f>SUM(F4:F8)</x:f>
        <x:v>42.15</x:v>
      </x:c>
      <x:c r="G9" s="573"/>
      <x:c r="H9" s="574"/>
    </x:row>
  </x:sheetData>
  <x:mergeCells>
    <x:mergeCell ref="A1:H1"/>
    <x:mergeCell ref="A2:H2"/>
    <x:mergeCell ref="A9:C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32" hidden="0" customWidth="1"/>
    <x:col min="4" max="4" width="8" hidden="0" customWidth="1"/>
    <x:col min="5" max="5" width="10" hidden="0" customWidth="1"/>
    <x:col min="6" max="6" width="10" hidden="0" customWidth="1"/>
    <x:col min="7" max="7" width="25" hidden="0" customWidth="1"/>
    <x:col min="8" max="8" width="31" hidden="0" customWidth="1"/>
  </x:cols>
  <x:sheetData>
    <x:row r="1" ht="28" customHeight="1">
      <x:c r="A1" s="582" t="str">
        <x:v>2026-08-18 采购清单</x:v>
      </x:c>
      <x:c r="B1" s="582"/>
      <x:c r="C1" s="582"/>
      <x:c r="D1" s="582"/>
      <x:c r="E1" s="582"/>
      <x:c r="F1" s="582"/>
      <x:c r="G1" s="582"/>
      <x:c r="H1" s="582"/>
    </x:row>
    <x:row r="2" ht="22" customHeight="1">
      <x:c r="A2" s="586" t="str">
        <x:v>采购日期：2026-08-18</x:v>
      </x:c>
      <x:c r="B2" s="586"/>
      <x:c r="C2" s="586"/>
      <x:c r="D2" s="586"/>
      <x:c r="E2" s="586"/>
      <x:c r="F2" s="586"/>
      <x:c r="G2" s="586"/>
      <x:c r="H2" s="586"/>
    </x:row>
    <x:row r="3" ht="30" customHeight="1">
      <x:c r="A3" s="592" t="str">
        <x:v>序号</x:v>
      </x:c>
      <x:c r="B3" s="592" t="str">
        <x:v>商品名称</x:v>
      </x:c>
      <x:c r="C3" s="592" t="str">
        <x:v>规格/型号</x:v>
      </x:c>
      <x:c r="D3" s="592" t="str">
        <x:v>数量</x:v>
      </x:c>
      <x:c r="E3" s="592" t="str">
        <x:v>单价（元）</x:v>
      </x:c>
      <x:c r="F3" s="592" t="str">
        <x:v>金额（元）</x:v>
      </x:c>
      <x:c r="G3" s="592" t="str">
        <x:v>店铺</x:v>
      </x:c>
      <x:c r="H3" s="592" t="str">
        <x:v>备注</x:v>
      </x:c>
    </x:row>
    <x:row r="4" ht="54" customHeight="1">
      <x:c r="A4" s="598" t="n">
        <x:v>1</x:v>
      </x:c>
      <x:c r="B4" s="599" t="str">
        <x:v>M10密封舱实心螺栓</x:v>
      </x:c>
      <x:c r="C4" s="599" t="str">
        <x:v>铝制密封螺丝 / M10</x:v>
      </x:c>
      <x:c r="D4" s="598" t="n">
        <x:v>4</x:v>
      </x:c>
      <x:c r="E4" s="603" t="n">
        <x:v>25</x:v>
      </x:c>
      <x:c r="F4" s="603" t="n">
        <x:f>D4*E4</x:f>
        <x:v>100</x:v>
      </x:c>
      <x:c r="G4" s="599" t="str">
        <x:v>天启ROV97</x:v>
      </x:c>
      <x:c r="H4" s="599" t="str">
        <x:v>包邮；与M10穿线螺丝同单合计370元</x:v>
      </x:c>
    </x:row>
    <x:row r="5" ht="54" customHeight="1">
      <x:c r="A5" s="598" t="n">
        <x:v>2</x:v>
      </x:c>
      <x:c r="B5" s="599" t="str">
        <x:v>M10穿线螺丝</x:v>
      </x:c>
      <x:c r="C5" s="599" t="str">
        <x:v>银色 / 不锈钢 / M10</x:v>
      </x:c>
      <x:c r="D5" s="598" t="n">
        <x:v>9</x:v>
      </x:c>
      <x:c r="E5" s="603" t="n">
        <x:v>30</x:v>
      </x:c>
      <x:c r="F5" s="603" t="n">
        <x:f>D5*E5</x:f>
        <x:v>270</x:v>
      </x:c>
      <x:c r="G5" s="599" t="str">
        <x:v>天启ROV97</x:v>
      </x:c>
      <x:c r="H5" s="599" t="str">
        <x:v>包邮；与密封舱实心螺栓同单合计370元</x:v>
      </x:c>
    </x:row>
    <x:row r="6" ht="54" customHeight="1">
      <x:c r="A6" s="598" t="n">
        <x:v>3</x:v>
      </x:c>
      <x:c r="B6" s="599" t="str">
        <x:v>TS60水下推进器</x:v>
      </x:c>
      <x:c r="C6" s="599" t="str">
        <x:v>蓝黑500KV正桨 / 推荐12V使用</x:v>
      </x:c>
      <x:c r="D6" s="598" t="n">
        <x:v>3</x:v>
      </x:c>
      <x:c r="E6" s="603" t="n">
        <x:v>189</x:v>
      </x:c>
      <x:c r="F6" s="603" t="n">
        <x:f>D6*E6</x:f>
        <x:v>567</x:v>
      </x:c>
      <x:c r="G6" s="599" t="str">
        <x:v>天启ROV97</x:v>
      </x:c>
      <x:c r="H6" s="599" t="str">
        <x:v>包邮；与电调、密封舱同单；优惠后合计1997元</x:v>
      </x:c>
    </x:row>
    <x:row r="7" ht="54" customHeight="1">
      <x:c r="A7" s="598" t="n">
        <x:v>4</x:v>
      </x:c>
      <x:c r="B7" s="599" t="str">
        <x:v>35A双向无刷电调</x:v>
      </x:c>
      <x:c r="C7" s="599" t="str">
        <x:v>35A / 双向 / 水下动力</x:v>
      </x:c>
      <x:c r="D7" s="598" t="n">
        <x:v>3</x:v>
      </x:c>
      <x:c r="E7" s="603" t="n">
        <x:v>95</x:v>
      </x:c>
      <x:c r="F7" s="603" t="n">
        <x:f>D7*E7</x:f>
        <x:v>285</x:v>
      </x:c>
      <x:c r="G7" s="599" t="str">
        <x:v>天启ROV97</x:v>
      </x:c>
      <x:c r="H7" s="599" t="str">
        <x:v>包邮；与推进器、密封舱同单；优惠后合计1997元</x:v>
      </x:c>
    </x:row>
    <x:row r="8" ht="78" customHeight="1">
      <x:c r="A8" s="598" t="n">
        <x:v>5</x:v>
      </x:c>
      <x:c r="B8" s="599" t="str">
        <x:v>海目云水下机器人密封舱</x:v>
      </x:c>
      <x:c r="C8" s="685" t="str">
        <x:v>外径160mm×300mm / 亚克力圆管+半球罩+法兰+金属圈+端盖+密封圈+硅脂+配套螺丝</x:v>
      </x:c>
      <x:c r="D8" s="598" t="n">
        <x:v>1</x:v>
      </x:c>
      <x:c r="E8" s="603" t="n">
        <x:v>1145</x:v>
      </x:c>
      <x:c r="F8" s="603" t="n">
        <x:f>D8*E8</x:f>
        <x:v>1145</x:v>
      </x:c>
      <x:c r="G8" s="599" t="str">
        <x:v>VIOCEAN海目云海洋科技企业店</x:v>
      </x:c>
      <x:c r="H8" s="685" t="str">
        <x:v>优惠后价1145元（标价1150元）；整套含亚克力圆管、半球罩、法兰、金属圈、端盖、密封圈、硅脂和配套螺丝；与推进器、电调同单合计1997元</x:v>
      </x:c>
    </x:row>
    <x:row r="9" ht="54" customHeight="1">
      <x:c r="A9" s="667" t="n">
        <x:v>6</x:v>
      </x:c>
      <x:c r="B9" s="671" t="str">
        <x:v>八合一大电流分电板</x:v>
      </x:c>
      <x:c r="C9" s="671" t="str">
        <x:v>输入XT90 / 输出XT60 / 焊好出货</x:v>
      </x:c>
      <x:c r="D9" s="667" t="n">
        <x:v>1</x:v>
      </x:c>
      <x:c r="E9" s="668" t="n">
        <x:v>97.5</x:v>
      </x:c>
      <x:c r="F9" s="668" t="n">
        <x:f>D9*E9</x:f>
        <x:v>97.5</x:v>
      </x:c>
      <x:c r="G9" s="671" t="str">
        <x:v>梁小二模型</x:v>
      </x:c>
      <x:c r="H9" s="671" t="str">
        <x:v>商品97.50元；运费5.00元另列；实付款102.50元</x:v>
      </x:c>
    </x:row>
    <x:row r="10" ht="54" customHeight="1">
      <x:c r="A10" s="667" t="n">
        <x:v>7</x:v>
      </x:c>
      <x:c r="B10" s="671" t="str">
        <x:v>XT90H黑色母头带线</x:v>
      </x:c>
      <x:c r="C10" s="671" t="str">
        <x:v>XT90H黑母头 / 8AWG（8.29mm²）/ 红黑线 / 10cm</x:v>
      </x:c>
      <x:c r="D10" s="667" t="n">
        <x:v>1</x:v>
      </x:c>
      <x:c r="E10" s="668" t="n">
        <x:v>10.12</x:v>
      </x:c>
      <x:c r="F10" s="668" t="n">
        <x:f>D10*E10</x:f>
        <x:v>10.12</x:v>
      </x:c>
      <x:c r="G10" s="671" t="str">
        <x:v>阳光模型上海DIY（截图店名截断）</x:v>
      </x:c>
      <x:c r="H10" s="671" t="str">
        <x:v>先用后付；确认收货后应付10.12元</x:v>
      </x:c>
    </x:row>
    <x:row r="11" ht="54" customHeight="1">
      <x:c r="A11" s="667" t="n">
        <x:v>8</x:v>
      </x:c>
      <x:c r="B11" s="671" t="str">
        <x:v>XT90H黄色公头带线</x:v>
      </x:c>
      <x:c r="C11" s="671" t="str">
        <x:v>XT90H黄公头 / 8AWG（8.29mm²）/ 红黑线 / 10cm</x:v>
      </x:c>
      <x:c r="D11" s="667" t="n">
        <x:v>1</x:v>
      </x:c>
      <x:c r="E11" s="668" t="n">
        <x:v>11.11</x:v>
      </x:c>
      <x:c r="F11" s="668" t="n">
        <x:f>D11*E11</x:f>
        <x:v>11.11</x:v>
      </x:c>
      <x:c r="G11" s="671" t="str">
        <x:v>阳光模型上海DIY（截图店名截断）</x:v>
      </x:c>
      <x:c r="H11" s="671" t="str">
        <x:v>先用后付；确认收货后应付11.11元</x:v>
      </x:c>
    </x:row>
    <x:row r="12" ht="54" customHeight="1">
      <x:c r="A12" s="667" t="n">
        <x:v>9</x:v>
      </x:c>
      <x:c r="B12" s="671" t="str">
        <x:v>运费</x:v>
      </x:c>
      <x:c r="C12" s="671" t="str">
        <x:v>分电板订单运费</x:v>
      </x:c>
      <x:c r="D12" s="667" t="n">
        <x:v>1</x:v>
      </x:c>
      <x:c r="E12" s="668" t="n">
        <x:v>5</x:v>
      </x:c>
      <x:c r="F12" s="668" t="n">
        <x:f>D12*E12</x:f>
        <x:v>5</x:v>
      </x:c>
      <x:c r="G12" s="671" t="str">
        <x:v>梁小二模型</x:v>
      </x:c>
      <x:c r="H12" s="671" t="str">
        <x:v>分电板订单：实付款102.50元=商品97.50元+运费5.00元</x:v>
      </x:c>
    </x:row>
    <x:row r="13" ht="26" customHeight="1">
      <x:c r="A13" s="681" t="str">
        <x:v>本日合计</x:v>
      </x:c>
      <x:c r="B13" s="682"/>
      <x:c r="C13" s="682"/>
      <x:c r="D13" s="682" t="n">
        <x:f>SUM(D4:D12)</x:f>
        <x:v>24</x:v>
      </x:c>
      <x:c r="E13" s="684"/>
      <x:c r="F13" s="684" t="n">
        <x:f>SUM(F4:F12)</x:f>
        <x:v>2490.73</x:v>
      </x:c>
      <x:c r="G13" s="679"/>
      <x:c r="H13" s="680"/>
    </x:row>
  </x:sheetData>
  <x:mergeCells>
    <x:mergeCell ref="A1:H1"/>
    <x:mergeCell ref="A2:H2"/>
    <x:mergeCell ref="A13:C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32" hidden="0" customWidth="1"/>
    <x:col min="4" max="4" width="8" hidden="0" customWidth="1"/>
    <x:col min="5" max="5" width="10" hidden="0" customWidth="1"/>
    <x:col min="6" max="6" width="10" hidden="0" customWidth="1"/>
    <x:col min="7" max="7" width="25" hidden="0" customWidth="1"/>
    <x:col min="8" max="8" width="31" hidden="0" customWidth="1"/>
  </x:cols>
  <x:sheetData>
    <x:row r="1" ht="28" customHeight="1">
      <x:c r="A1" s="689" t="str">
        <x:v>2026-08-25 采购清单</x:v>
      </x:c>
      <x:c r="B1" s="689"/>
      <x:c r="C1" s="689"/>
      <x:c r="D1" s="689"/>
      <x:c r="E1" s="689"/>
      <x:c r="F1" s="689"/>
      <x:c r="G1" s="689"/>
      <x:c r="H1" s="689"/>
    </x:row>
    <x:row r="2" ht="22" customHeight="1">
      <x:c r="A2" s="693" t="str">
        <x:v>采购日期：2026-08-25</x:v>
      </x:c>
      <x:c r="B2" s="693"/>
      <x:c r="C2" s="693"/>
      <x:c r="D2" s="693"/>
      <x:c r="E2" s="693"/>
      <x:c r="F2" s="693"/>
      <x:c r="G2" s="693"/>
      <x:c r="H2" s="693"/>
    </x:row>
    <x:row r="3" ht="30" customHeight="1">
      <x:c r="A3" s="699" t="str">
        <x:v>序号</x:v>
      </x:c>
      <x:c r="B3" s="699" t="str">
        <x:v>商品名称</x:v>
      </x:c>
      <x:c r="C3" s="699" t="str">
        <x:v>规格/型号</x:v>
      </x:c>
      <x:c r="D3" s="699" t="str">
        <x:v>数量</x:v>
      </x:c>
      <x:c r="E3" s="699" t="str">
        <x:v>单价（元）</x:v>
      </x:c>
      <x:c r="F3" s="699" t="str">
        <x:v>金额（元）</x:v>
      </x:c>
      <x:c r="G3" s="699" t="str">
        <x:v>店铺</x:v>
      </x:c>
      <x:c r="H3" s="699" t="str">
        <x:v>备注</x:v>
      </x:c>
    </x:row>
    <x:row r="4" ht="58" customHeight="1">
      <x:c r="A4" s="705" t="n">
        <x:v>1</x:v>
      </x:c>
      <x:c r="B4" s="706" t="str">
        <x:v>密封舱气密性测试套装</x:v>
      </x:c>
      <x:c r="C4" s="706" t="str">
        <x:v>真空枪+宝塔气嘴 / 工具箱套装</x:v>
      </x:c>
      <x:c r="D4" s="705" t="n">
        <x:v>1</x:v>
      </x:c>
      <x:c r="E4" s="708" t="n">
        <x:v>245</x:v>
      </x:c>
      <x:c r="F4" s="708" t="n">
        <x:f>D4*E4</x:f>
        <x:v>245</x:v>
      </x:c>
      <x:c r="G4" s="706" t="str">
        <x:v>VIOCEAN海目云海洋科技企业店</x:v>
      </x:c>
      <x:c r="H4" s="706" t="str">
        <x:v>实付款245元；图1、2为同一订单，去重登记</x:v>
      </x:c>
    </x:row>
    <x:row r="5" ht="58" customHeight="1">
      <x:c r="A5" s="705" t="n">
        <x:v>2</x:v>
      </x:c>
      <x:c r="B5" s="706" t="str">
        <x:v>黑色快干AB环氧树脂胶</x:v>
      </x:c>
      <x:c r="C5" s="706" t="str">
        <x:v>黑色快干款 / 5分钟初固 / 两支装 / 送工具</x:v>
      </x:c>
      <x:c r="D5" s="705" t="n">
        <x:v>1</x:v>
      </x:c>
      <x:c r="E5" s="708" t="n">
        <x:v>15.1</x:v>
      </x:c>
      <x:c r="F5" s="708" t="n">
        <x:f>D5*E5</x:f>
        <x:v>15.1</x:v>
      </x:c>
      <x:c r="G5" s="706" t="str">
        <x:v>固万旗舰店</x:v>
      </x:c>
      <x:c r="H5" s="706" t="str">
        <x:v>先用后付；确认收货后应付15.10元</x:v>
      </x:c>
    </x:row>
    <x:row r="6" ht="58" customHeight="1">
      <x:c r="A6" s="705" t="n">
        <x:v>3</x:v>
      </x:c>
      <x:c r="B6" s="706" t="str">
        <x:v>4S6P水下机器人锂电池</x:v>
      </x:c>
      <x:c r="C6" s="706" t="str">
        <x:v>14.8V / 18Ah / 4S6P</x:v>
      </x:c>
      <x:c r="D6" s="705" t="n">
        <x:v>1</x:v>
      </x:c>
      <x:c r="E6" s="708" t="n">
        <x:v>1552</x:v>
      </x:c>
      <x:c r="F6" s="708" t="n">
        <x:f>D6*E6</x:f>
        <x:v>1552</x:v>
      </x:c>
      <x:c r="G6" s="706" t="str">
        <x:v>仙藤电池</x:v>
      </x:c>
      <x:c r="H6" s="706" t="str">
        <x:v>实付款1552.00元</x:v>
      </x:c>
    </x:row>
    <x:row r="7" ht="26" customHeight="1">
      <x:c r="A7" s="724" t="str">
        <x:v>本日合计</x:v>
      </x:c>
      <x:c r="B7" s="721"/>
      <x:c r="C7" s="721"/>
      <x:c r="D7" s="721" t="n">
        <x:f>SUM(D4:D6)</x:f>
        <x:v>3</x:v>
      </x:c>
      <x:c r="E7" s="722"/>
      <x:c r="F7" s="722" t="n">
        <x:f>SUM(F4:F6)</x:f>
        <x:v>1812.1</x:v>
      </x:c>
      <x:c r="G7" s="720"/>
      <x:c r="H7" s="723"/>
    </x:row>
  </x:sheetData>
  <x:mergeCells>
    <x:mergeCell ref="A1:H1"/>
    <x:mergeCell ref="A2:H2"/>
    <x:mergeCell ref="A7:C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32" hidden="0" customWidth="1"/>
    <x:col min="4" max="4" width="8" hidden="0" customWidth="1"/>
    <x:col min="5" max="5" width="10" hidden="0" customWidth="1"/>
    <x:col min="6" max="6" width="10" hidden="0" customWidth="1"/>
    <x:col min="7" max="7" width="25" hidden="0" customWidth="1"/>
    <x:col min="8" max="8" width="31" hidden="0" customWidth="1"/>
  </x:cols>
  <x:sheetData>
    <x:row r="1" ht="28" customHeight="1">
      <x:c r="A1" s="689" t="str">
        <x:v>2026-08-26 采购清单</x:v>
      </x:c>
      <x:c r="B1" s="689"/>
      <x:c r="C1" s="689"/>
      <x:c r="D1" s="689"/>
      <x:c r="E1" s="689"/>
      <x:c r="F1" s="689"/>
      <x:c r="G1" s="689"/>
      <x:c r="H1" s="689"/>
    </x:row>
    <x:row r="2" ht="22" customHeight="1">
      <x:c r="A2" s="693" t="str">
        <x:v>采购日期：2026-08-26</x:v>
      </x:c>
      <x:c r="B2" s="693"/>
      <x:c r="C2" s="693"/>
      <x:c r="D2" s="693"/>
      <x:c r="E2" s="693"/>
      <x:c r="F2" s="693"/>
      <x:c r="G2" s="693"/>
      <x:c r="H2" s="693"/>
    </x:row>
    <x:row r="3" ht="30" customHeight="1">
      <x:c r="A3" s="699" t="str">
        <x:v>序号</x:v>
      </x:c>
      <x:c r="B3" s="699" t="str">
        <x:v>商品名称</x:v>
      </x:c>
      <x:c r="C3" s="699" t="str">
        <x:v>规格/型号</x:v>
      </x:c>
      <x:c r="D3" s="699" t="str">
        <x:v>数量</x:v>
      </x:c>
      <x:c r="E3" s="699" t="str">
        <x:v>单价（元）</x:v>
      </x:c>
      <x:c r="F3" s="699" t="str">
        <x:v>金额（元）</x:v>
      </x:c>
      <x:c r="G3" s="699" t="str">
        <x:v>店铺</x:v>
      </x:c>
      <x:c r="H3" s="699" t="str">
        <x:v>备注</x:v>
      </x:c>
    </x:row>
    <x:row r="4" ht="58" customHeight="1">
      <x:c r="A4" s="705" t="n">
        <x:v>1</x:v>
      </x:c>
      <x:c r="B4" s="706" t="str">
        <x:v>M2.5 304不锈钢六角螺母</x:v>
      </x:c>
      <x:c r="C4" s="706" t="str">
        <x:v>M2.5 / 100个</x:v>
      </x:c>
      <x:c r="D4" s="705" t="n">
        <x:v>1</x:v>
      </x:c>
      <x:c r="E4" s="708" t="n">
        <x:v>2.46</x:v>
      </x:c>
      <x:c r="F4" s="708" t="n">
        <x:f>D4*E4</x:f>
        <x:v>2.46</x:v>
      </x:c>
      <x:c r="G4" s="706" t="str">
        <x:v>金超官方旗舰店</x:v>
      </x:c>
      <x:c r="H4" s="706" t="str">
        <x:v>先用后付；确认收货后应付2.46元</x:v>
      </x:c>
    </x:row>
    <x:row r="5" ht="58" customHeight="1">
      <x:c r="A5" s="705" t="n">
        <x:v>2</x:v>
      </x:c>
      <x:c r="B5" s="706" t="str">
        <x:v>M2.5尼龙平垫片</x:v>
      </x:c>
      <x:c r="C5" s="706" t="str">
        <x:v>M2.5×5×1mm / 200个</x:v>
      </x:c>
      <x:c r="D5" s="705" t="n">
        <x:v>1</x:v>
      </x:c>
      <x:c r="E5" s="708" t="n">
        <x:v>4</x:v>
      </x:c>
      <x:c r="F5" s="708" t="n">
        <x:f>D5*E5</x:f>
        <x:v>4</x:v>
      </x:c>
      <x:c r="G5" s="706" t="str">
        <x:v>品诺塑胶垫圈供应商</x:v>
      </x:c>
      <x:c r="H5" s="706" t="str">
        <x:v>先用后付；确认收货后应付4.00元</x:v>
      </x:c>
    </x:row>
    <x:row r="6" ht="58" customHeight="1">
      <x:c r="A6" s="705" t="n">
        <x:v>3</x:v>
      </x:c>
      <x:c r="B6" s="706" t="str">
        <x:v>M2.5×8 304不锈钢十字圆头机牙螺钉</x:v>
      </x:c>
      <x:c r="C6" s="706" t="str">
        <x:v>M2.5×8 / 200个</x:v>
      </x:c>
      <x:c r="D6" s="705" t="n">
        <x:v>1</x:v>
      </x:c>
      <x:c r="E6" s="708" t="n">
        <x:v>5.71</x:v>
      </x:c>
      <x:c r="F6" s="708" t="n">
        <x:f>D6*E6</x:f>
        <x:v>5.71</x:v>
      </x:c>
      <x:c r="G6" s="706" t="str">
        <x:v>伯瑞特官方旗舰店</x:v>
      </x:c>
      <x:c r="H6" s="706" t="str">
        <x:v>先用后付；确认收货后应付5.71元</x:v>
      </x:c>
    </x:row>
    <x:row r="7" ht="58" customHeight="1">
      <x:c r="A7" s="705" t="n">
        <x:v>4</x:v>
      </x:c>
      <x:c r="B7" s="706" t="str">
        <x:v>M2.5×6 304不锈钢十字圆头机牙螺钉</x:v>
      </x:c>
      <x:c r="C7" s="706" t="str">
        <x:v>M2.5×6 / 200个</x:v>
      </x:c>
      <x:c r="D7" s="705" t="n">
        <x:v>1</x:v>
      </x:c>
      <x:c r="E7" s="708" t="n">
        <x:v>5.07</x:v>
      </x:c>
      <x:c r="F7" s="708" t="n">
        <x:f>D7*E7</x:f>
        <x:v>5.07</x:v>
      </x:c>
      <x:c r="G7" s="706" t="str">
        <x:v>伯瑞特官方旗舰店</x:v>
      </x:c>
      <x:c r="H7" s="706" t="str">
        <x:v>先用后付；确认收货后应付5.07元</x:v>
      </x:c>
    </x:row>
    <x:row r="8" ht="58" customHeight="1">
      <x:c r="A8" s="705" t="n">
        <x:v>5</x:v>
      </x:c>
      <x:c r="B8" s="706" t="str">
        <x:v>M2.5×10 304不锈钢十字圆头机牙螺钉</x:v>
      </x:c>
      <x:c r="C8" s="706" t="str">
        <x:v>M2.5×10 / 200个</x:v>
      </x:c>
      <x:c r="D8" s="705" t="n">
        <x:v>1</x:v>
      </x:c>
      <x:c r="E8" s="708" t="n">
        <x:v>6.19</x:v>
      </x:c>
      <x:c r="F8" s="708" t="n">
        <x:f>D8*E8</x:f>
        <x:v>6.19</x:v>
      </x:c>
      <x:c r="G8" s="706" t="str">
        <x:v>伯瑞特官方旗舰店</x:v>
      </x:c>
      <x:c r="H8" s="706" t="str">
        <x:v>先用后付；确认收货后应付6.19元</x:v>
      </x:c>
    </x:row>
    <x:row r="9" ht="58" customHeight="1">
      <x:c r="A9" s="705" t="n">
        <x:v>6</x:v>
      </x:c>
      <x:c r="B9" s="706" t="str">
        <x:v>黑色自锁式尼龙扎带</x:v>
      </x:c>
      <x:c r="C9" s="706" t="str">
        <x:v>4×150mm / 黑色 / 500根</x:v>
      </x:c>
      <x:c r="D9" s="705" t="n">
        <x:v>1</x:v>
      </x:c>
      <x:c r="E9" s="708" t="n">
        <x:v>17.39</x:v>
      </x:c>
      <x:c r="F9" s="708" t="n">
        <x:f>D9*E9</x:f>
        <x:v>17.39</x:v>
      </x:c>
      <x:c r="G9" s="706" t="str">
        <x:v>伯瑞特官方旗舰店</x:v>
      </x:c>
      <x:c r="H9" s="706" t="str">
        <x:v>先用后付；确认收货后应付17.39元</x:v>
      </x:c>
    </x:row>
    <x:row r="10" ht="58" customHeight="1">
      <x:c r="A10" s="705" t="n">
        <x:v>7</x:v>
      </x:c>
      <x:c r="B10" s="706" t="str">
        <x:v>M3×20 304不锈钢杯头内六角螺钉</x:v>
      </x:c>
      <x:c r="C10" s="706" t="str">
        <x:v>M3×20 / 50个</x:v>
      </x:c>
      <x:c r="D10" s="705" t="n">
        <x:v>1</x:v>
      </x:c>
      <x:c r="E10" s="708" t="n">
        <x:v>1.12</x:v>
      </x:c>
      <x:c r="F10" s="708" t="n">
        <x:f>D10*E10</x:f>
        <x:v>1.12</x:v>
      </x:c>
      <x:c r="G10" s="706" t="str">
        <x:v>资鑫旗舰店</x:v>
      </x:c>
      <x:c r="H10" s="706" t="str">
        <x:v>先用后付；确认收货后应付1.12元</x:v>
      </x:c>
    </x:row>
    <x:row r="11" ht="26" customHeight="1">
      <x:c r="A11" s="724" t="str">
        <x:v>本日合计</x:v>
      </x:c>
      <x:c r="B11" s="721"/>
      <x:c r="C11" s="721"/>
      <x:c r="D11" s="721" t="n">
        <x:f>SUM(D4:D10)</x:f>
        <x:v>7</x:v>
      </x:c>
      <x:c r="E11" s="722"/>
      <x:c r="F11" s="722" t="n">
        <x:f>SUM(F4:F10)</x:f>
        <x:v>41.940000000000005</x:v>
      </x:c>
      <x:c r="G11" s="720"/>
      <x:c r="H11" s="723"/>
    </x:row>
  </x:sheetData>
  <x:mergeCells>
    <x:mergeCell ref="A1:H1"/>
    <x:mergeCell ref="A2:H2"/>
    <x:mergeCell ref="A11:C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32" hidden="0" customWidth="1"/>
    <x:col min="4" max="4" width="8" hidden="0" customWidth="1"/>
    <x:col min="5" max="5" width="10" hidden="0" customWidth="1"/>
    <x:col min="6" max="6" width="10" hidden="0" customWidth="1"/>
    <x:col min="7" max="7" width="25" hidden="0" customWidth="1"/>
    <x:col min="8" max="8" width="34" hidden="0" customWidth="1"/>
  </x:cols>
  <x:sheetData>
    <x:row r="1" ht="28" customHeight="1">
      <x:c r="A1" s="767" t="str">
        <x:v>2026-08-28 采购清单</x:v>
      </x:c>
      <x:c r="B1" s="767"/>
      <x:c r="C1" s="767"/>
      <x:c r="D1" s="767"/>
      <x:c r="E1" s="767"/>
      <x:c r="F1" s="767"/>
      <x:c r="G1" s="767"/>
      <x:c r="H1" s="767"/>
    </x:row>
    <x:row r="2" ht="22" customHeight="1">
      <x:c r="A2" s="771" t="str">
        <x:v>采购日期：2026-08-28</x:v>
      </x:c>
      <x:c r="B2" s="771"/>
      <x:c r="C2" s="771"/>
      <x:c r="D2" s="771"/>
      <x:c r="E2" s="771"/>
      <x:c r="F2" s="771"/>
      <x:c r="G2" s="771"/>
      <x:c r="H2" s="771"/>
    </x:row>
    <x:row r="3" ht="30" customHeight="1">
      <x:c r="A3" s="777" t="str">
        <x:v>序号</x:v>
      </x:c>
      <x:c r="B3" s="777" t="str">
        <x:v>商品名称</x:v>
      </x:c>
      <x:c r="C3" s="777" t="str">
        <x:v>规格/型号</x:v>
      </x:c>
      <x:c r="D3" s="777" t="str">
        <x:v>数量</x:v>
      </x:c>
      <x:c r="E3" s="777" t="str">
        <x:v>单价（元）</x:v>
      </x:c>
      <x:c r="F3" s="777" t="str">
        <x:v>金额（元）</x:v>
      </x:c>
      <x:c r="G3" s="777" t="str">
        <x:v>店铺</x:v>
      </x:c>
      <x:c r="H3" s="777" t="str">
        <x:v>备注</x:v>
      </x:c>
    </x:row>
    <x:row r="4" ht="58" customHeight="1">
      <x:c r="A4" s="783" t="n">
        <x:v>1</x:v>
      </x:c>
      <x:c r="B4" s="784" t="str">
        <x:v>ROV专用防水密封硅脂</x:v>
      </x:c>
      <x:c r="C4" s="784" t="str">
        <x:v>水下密封专用硅脂</x:v>
      </x:c>
      <x:c r="D4" s="783" t="n">
        <x:v>1</x:v>
      </x:c>
      <x:c r="E4" s="786" t="n">
        <x:v>49</x:v>
      </x:c>
      <x:c r="F4" s="786" t="n">
        <x:f>D4*E4</x:f>
        <x:v>49</x:v>
      </x:c>
      <x:c r="G4" s="784" t="str">
        <x:v>VIOCEAN海目云海洋科技企业店</x:v>
      </x:c>
      <x:c r="H4" s="784" t="str">
        <x:v>已签收；商品金额49.00元</x:v>
      </x:c>
    </x:row>
    <x:row r="5" ht="58" customHeight="1">
      <x:c r="A5" s="783" t="n">
        <x:v>2</x:v>
      </x:c>
      <x:c r="B5" s="784" t="str">
        <x:v>水下机器人穿线密封胶</x:v>
      </x:c>
      <x:c r="C5" s="784" t="str">
        <x:v>400米耐压密封胶 / 赠推杆和5个胶管</x:v>
      </x:c>
      <x:c r="D5" s="783" t="n">
        <x:v>1</x:v>
      </x:c>
      <x:c r="E5" s="786" t="n">
        <x:v>75</x:v>
      </x:c>
      <x:c r="F5" s="786" t="n">
        <x:f>D5*E5</x:f>
        <x:v>75</x:v>
      </x:c>
      <x:c r="G5" s="784" t="str">
        <x:v>VIOCEAN海目云海洋科技企业店</x:v>
      </x:c>
      <x:c r="H5" s="784" t="str">
        <x:v>已签收；商品金额75.00元</x:v>
      </x:c>
    </x:row>
    <x:row r="6" ht="58" customHeight="1">
      <x:c r="A6" s="783" t="n">
        <x:v>3</x:v>
      </x:c>
      <x:c r="B6" s="784" t="str">
        <x:v>ROV纯铅配重块</x:v>
      </x:c>
      <x:c r="C6" s="784" t="str">
        <x:v>约200g/块</x:v>
      </x:c>
      <x:c r="D6" s="783" t="n">
        <x:v>5</x:v>
      </x:c>
      <x:c r="E6" s="786" t="n">
        <x:v>23</x:v>
      </x:c>
      <x:c r="F6" s="786" t="n">
        <x:f>D6*E6</x:f>
        <x:v>115</x:v>
      </x:c>
      <x:c r="G6" s="784" t="str">
        <x:v>VIOCEAN海目云海洋科技企业店</x:v>
      </x:c>
      <x:c r="H6" s="784" t="str">
        <x:v>已签收；5块共115.00元</x:v>
      </x:c>
    </x:row>
    <x:row r="7" ht="58" customHeight="1">
      <x:c r="A7" s="783" t="n">
        <x:v>4</x:v>
      </x:c>
      <x:c r="B7" s="784" t="str">
        <x:v>1:1 AB胶枪</x:v>
      </x:c>
      <x:c r="C7" s="784" t="str">
        <x:v>AB胶枪 / 1比1</x:v>
      </x:c>
      <x:c r="D7" s="783" t="n">
        <x:v>1</x:v>
      </x:c>
      <x:c r="E7" s="786" t="n">
        <x:v>45</x:v>
      </x:c>
      <x:c r="F7" s="786" t="n">
        <x:f>D7*E7</x:f>
        <x:v>45</x:v>
      </x:c>
      <x:c r="G7" s="784" t="str">
        <x:v>VIOCEAN海目云海洋科技企业店</x:v>
      </x:c>
      <x:c r="H7" s="784" t="str">
        <x:v>已签收；商品金额45.00元</x:v>
      </x:c>
    </x:row>
    <x:row r="8" ht="58" customHeight="1">
      <x:c r="A8" s="783" t="n">
        <x:v>5</x:v>
      </x:c>
      <x:c r="B8" s="784" t="str">
        <x:v>运费</x:v>
      </x:c>
      <x:c r="C8" s="784" t="str">
        <x:v>VIOCEAN订单运费</x:v>
      </x:c>
      <x:c r="D8" s="783" t="n">
        <x:v>1</x:v>
      </x:c>
      <x:c r="E8" s="786" t="n">
        <x:v>10</x:v>
      </x:c>
      <x:c r="F8" s="786" t="n">
        <x:f>D8*E8</x:f>
        <x:v>10</x:v>
      </x:c>
      <x:c r="G8" s="784" t="str">
        <x:v>VIOCEAN海目云海洋科技企业店</x:v>
      </x:c>
      <x:c r="H8" s="784" t="str">
        <x:v>用户确认10.00元为运费；不计入资产原值</x:v>
      </x:c>
    </x:row>
    <x:row r="9" ht="58" customHeight="1">
      <x:c r="A9" s="783" t="n">
        <x:v>6</x:v>
      </x:c>
      <x:c r="B9" s="784" t="str">
        <x:v>水下机器人ROV探照灯</x:v>
      </x:c>
      <x:c r="C9" s="784" t="str">
        <x:v>6500K / ArduSub脉宽控制 / 100°光束角</x:v>
      </x:c>
      <x:c r="D9" s="783" t="n">
        <x:v>1</x:v>
      </x:c>
      <x:c r="E9" s="786" t="n">
        <x:v>299</x:v>
      </x:c>
      <x:c r="F9" s="786" t="n">
        <x:f>D9*E9</x:f>
        <x:v>299</x:v>
      </x:c>
      <x:c r="G9" s="784" t="str">
        <x:v>EXOCEAN拓洲智能</x:v>
      </x:c>
      <x:c r="H9" s="784" t="str">
        <x:v>已签收；商品标价299.00元，订单实付311.00元</x:v>
      </x:c>
    </x:row>
    <x:row r="10" ht="58" customHeight="1">
      <x:c r="A10" s="783" t="n">
        <x:v>7</x:v>
      </x:c>
      <x:c r="B10" s="784" t="str">
        <x:v>运费</x:v>
      </x:c>
      <x:c r="C10" s="784" t="str">
        <x:v>EXOCEAN订单运费</x:v>
      </x:c>
      <x:c r="D10" s="783" t="n">
        <x:v>1</x:v>
      </x:c>
      <x:c r="E10" s="786" t="n">
        <x:v>12</x:v>
      </x:c>
      <x:c r="F10" s="786" t="n">
        <x:f>D10*E10</x:f>
        <x:v>12</x:v>
      </x:c>
      <x:c r="G10" s="784" t="str">
        <x:v>EXOCEAN拓洲智能</x:v>
      </x:c>
      <x:c r="H10" s="784" t="str">
        <x:v>用户确认12.00元为运费；不计入资产原值</x:v>
      </x:c>
    </x:row>
    <x:row r="11" ht="58" customHeight="1">
      <x:c r="A11" s="783" t="n">
        <x:v>8</x:v>
      </x:c>
      <x:c r="B11" s="784" t="str">
        <x:v>M5×16 304不锈钢杯头内六角螺钉</x:v>
      </x:c>
      <x:c r="C11" s="784" t="str">
        <x:v>M5×16 / 50个</x:v>
      </x:c>
      <x:c r="D11" s="783" t="n">
        <x:v>1</x:v>
      </x:c>
      <x:c r="E11" s="786" t="n">
        <x:v>5.36</x:v>
      </x:c>
      <x:c r="F11" s="786" t="n">
        <x:f>D11*E11</x:f>
        <x:v>5.36</x:v>
      </x:c>
      <x:c r="G11" s="784" t="str">
        <x:v>伯瑞特官方旗舰店</x:v>
      </x:c>
      <x:c r="H11" s="784" t="str">
        <x:v>先用后付；确认收货后应付5.36元</x:v>
      </x:c>
    </x:row>
    <x:row r="12" ht="26" customHeight="1">
      <x:c r="A12" s="802" t="str">
        <x:v>本日合计</x:v>
      </x:c>
      <x:c r="B12" s="799"/>
      <x:c r="C12" s="799"/>
      <x:c r="D12" s="799" t="n">
        <x:f>SUM(D4:D11)</x:f>
        <x:v>12</x:v>
      </x:c>
      <x:c r="E12" s="800"/>
      <x:c r="F12" s="800" t="n">
        <x:f>SUM(F4:F11)</x:f>
        <x:v>610.36</x:v>
      </x:c>
      <x:c r="G12" s="798"/>
      <x:c r="H12" s="801"/>
    </x:row>
  </x:sheetData>
  <x:mergeCells>
    <x:mergeCell ref="A1:H1"/>
    <x:mergeCell ref="A2:H2"/>
    <x:mergeCell ref="A12:C1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32" hidden="0" customWidth="1"/>
    <x:col min="4" max="4" width="8" hidden="0" customWidth="1"/>
    <x:col min="5" max="5" width="10" hidden="0" customWidth="1"/>
    <x:col min="6" max="6" width="10" hidden="0" customWidth="1"/>
    <x:col min="7" max="7" width="25" hidden="0" customWidth="1"/>
    <x:col min="8" max="8" width="34" hidden="0" customWidth="1"/>
  </x:cols>
  <x:sheetData>
    <x:row r="1" ht="28" customHeight="1">
      <x:c r="A1" s="767" t="str">
        <x:v>2026-08-30 采购清单</x:v>
      </x:c>
      <x:c r="B1" s="767"/>
      <x:c r="C1" s="767"/>
      <x:c r="D1" s="767"/>
      <x:c r="E1" s="767"/>
      <x:c r="F1" s="767"/>
      <x:c r="G1" s="767"/>
      <x:c r="H1" s="767"/>
    </x:row>
    <x:row r="2" ht="22" customHeight="1">
      <x:c r="A2" s="771" t="str">
        <x:v>采购日期：2026-08-30</x:v>
      </x:c>
      <x:c r="B2" s="771"/>
      <x:c r="C2" s="771"/>
      <x:c r="D2" s="771"/>
      <x:c r="E2" s="771"/>
      <x:c r="F2" s="771"/>
      <x:c r="G2" s="771"/>
      <x:c r="H2" s="771"/>
    </x:row>
    <x:row r="3" ht="30" customHeight="1">
      <x:c r="A3" s="777" t="str">
        <x:v>序号</x:v>
      </x:c>
      <x:c r="B3" s="777" t="str">
        <x:v>商品名称</x:v>
      </x:c>
      <x:c r="C3" s="777" t="str">
        <x:v>规格/型号</x:v>
      </x:c>
      <x:c r="D3" s="777" t="str">
        <x:v>数量</x:v>
      </x:c>
      <x:c r="E3" s="777" t="str">
        <x:v>单价（元）</x:v>
      </x:c>
      <x:c r="F3" s="777" t="str">
        <x:v>金额（元）</x:v>
      </x:c>
      <x:c r="G3" s="777" t="str">
        <x:v>店铺</x:v>
      </x:c>
      <x:c r="H3" s="777" t="str">
        <x:v>备注</x:v>
      </x:c>
    </x:row>
    <x:row r="4" ht="58" customHeight="1">
      <x:c r="A4" s="783" t="n">
        <x:v>1</x:v>
      </x:c>
      <x:c r="B4" s="784" t="str">
        <x:v>绿林高纯度焊锡丝</x:v>
      </x:c>
      <x:c r="C4" s="784" t="str">
        <x:v>锡含量63% / 0.8mm / 50g / 自带松香</x:v>
      </x:c>
      <x:c r="D4" s="783" t="n">
        <x:v>2</x:v>
      </x:c>
      <x:c r="E4" s="786" t="n">
        <x:v>15.8</x:v>
      </x:c>
      <x:c r="F4" s="786" t="n">
        <x:f>D4*E4</x:f>
        <x:v>31.6</x:v>
      </x:c>
      <x:c r="G4" s="784" t="str">
        <x:v>绿林官方旗舰店</x:v>
      </x:c>
      <x:c r="H4" s="784" t="str">
        <x:v>先用后付；确认收货后应付31.60元</x:v>
      </x:c>
    </x:row>
    <x:row r="5" ht="26" customHeight="1">
      <x:c r="A5" s="802" t="str">
        <x:v>本日合计</x:v>
      </x:c>
      <x:c r="B5" s="799"/>
      <x:c r="C5" s="799"/>
      <x:c r="D5" s="799" t="n">
        <x:f>SUM(D4:D4)</x:f>
        <x:v>2</x:v>
      </x:c>
      <x:c r="E5" s="800"/>
      <x:c r="F5" s="800" t="n">
        <x:f>SUM(F4:F4)</x:f>
        <x:v>31.6</x:v>
      </x:c>
      <x:c r="G5" s="798"/>
      <x:c r="H5" s="801"/>
    </x:row>
  </x:sheetData>
  <x:mergeCells>
    <x:mergeCell ref="A1:H1"/>
    <x:mergeCell ref="A2:H2"/>
    <x:mergeCell ref="A5:C5"/>
  </x:mergeCells>
  <x:pageMargins left="0.7" right="0.7" top="0.75" bottom="0.75" header="0.3" footer="0.3"/>
</x:worksheet>
</file>